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shboard" sheetId="2" r:id="rId6"/>
    <sheet state="visible" name="Politics" sheetId="3" r:id="rId7"/>
    <sheet state="visible" name="Economy" sheetId="4" r:id="rId8"/>
    <sheet state="visible" name="Projects" sheetId="5" r:id="rId9"/>
    <sheet state="visible" name="Companies" sheetId="6" r:id="rId10"/>
    <sheet state="visible" name="Trade Partners" sheetId="7" r:id="rId11"/>
    <sheet state="visible" name="Military" sheetId="8" r:id="rId12"/>
    <sheet state="visible" name="Foreign" sheetId="9" r:id="rId13"/>
    <sheet state="visible" name="Campaign_Log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">
      <text>
        <t xml:space="preserve">13B from navy</t>
      </text>
    </comment>
    <comment authorId="0" ref="N3">
      <text>
        <t xml:space="preserve">4.1B From navy</t>
      </text>
    </comment>
    <comment authorId="0" ref="N2">
      <text>
        <t xml:space="preserve">2.9B from Air Force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Total 25 Billion 
Troop cost 10. Billion
total spent 23 Billion
left 2 Billion
Artillery:
M109 Howitzer:100=150,000,000
M270 MLRS= 30=120,000,000
M102 howitzer(towed)200=60,000,000
Helicopters:
Cobras:10=100,000,000
AH-64: 25=375,000,000
Blackhawk:36=324,000,000
LittleBrid:30=30,000,000
Pumas 30=120,000,000
Chinook 15=225,000,000
MBT:
M1A1 Abram:175=1,050,000,000
Leopard:35=175,000,000
IFV
M2 Bradley:400=800,000,000
Marder IFV:300=450,000,000
APC 
FV432:300=150,000,000
Recon
Lav-25: 75=112,000,000
Support Vehicles
800=300,000,000
All kind</t>
      </text>
    </comment>
    <comment authorId="0" ref="C21">
      <text>
        <t xml:space="preserve">Down 17.1 $B from projects</t>
      </text>
    </comment>
    <comment authorId="0" ref="C20">
      <text>
        <t xml:space="preserve">Air Force 
Troop cost:7 Billion
1.1 Billion left (2.9 Billion taken from leftover to Projects)
F-16(newer version):12=600,000,000
F-16(older version):12=180,000,000
Flacon 20:5=100,000,000
E-3 Sentry:2=400,000,000
C-130:10=200,000,000
KC-135 Stratotankers:3=180,000,000
Mirage 2000C:24=1,320,000,000
Tornado GR.1A:5=375,000,000
Jaguar:11=198,000,000</t>
      </text>
    </comment>
  </commentList>
</comments>
</file>

<file path=xl/sharedStrings.xml><?xml version="1.0" encoding="utf-8"?>
<sst xmlns="http://schemas.openxmlformats.org/spreadsheetml/2006/main" count="526" uniqueCount="462">
  <si>
    <t>Reunion Campaign Tracker (Google Sheets starter)</t>
  </si>
  <si>
    <t>Reunion Campaign Dashboard</t>
  </si>
  <si>
    <t>Politics / Public Mood</t>
  </si>
  <si>
    <t>Economy / Curro Control Sheet</t>
  </si>
  <si>
    <t>What this file is</t>
  </si>
  <si>
    <t>A compact state tracker for politics, economy, military readiness, and geopolitics. Upload this .xlsx to Google Sheets and use it as the single campaign dashboard.</t>
  </si>
  <si>
    <t>Formula notes</t>
  </si>
  <si>
    <t>Majority threshold = INT(Total Seats/2)+1. Coalition seats = SUM of parties flagged Yes. Deficit = Spending - Revenue. Deficit % GDP = Deficit/GDP. Debt % GDP = Debt/GDP. Readiness/Pressure scores are weighted averages based on 1-5 ratings.</t>
  </si>
  <si>
    <t>Current campaign state</t>
  </si>
  <si>
    <t>Leadership &amp; state status</t>
  </si>
  <si>
    <t>Current status</t>
  </si>
  <si>
    <t>Parliament disbanded; Altis ceasefire in effect; UN observers on island</t>
  </si>
  <si>
    <t>Political stability</t>
  </si>
  <si>
    <t>Post Parliament</t>
  </si>
  <si>
    <t>Military readiness</t>
  </si>
  <si>
    <t>Economic strain</t>
  </si>
  <si>
    <t>Foreign pressure</t>
  </si>
  <si>
    <t>Parliament status</t>
  </si>
  <si>
    <t>Disbanded by president (temporary override)</t>
  </si>
  <si>
    <t>Recommended stance</t>
  </si>
  <si>
    <t>Stabilize internally, avoid reckless escalation, keep controlled assertion at sea</t>
  </si>
  <si>
    <t>Quick facts</t>
  </si>
  <si>
    <t>What matters right now</t>
  </si>
  <si>
    <t>Current state</t>
  </si>
  <si>
    <t>Why it matters</t>
  </si>
  <si>
    <t>President</t>
  </si>
  <si>
    <t>Dax Donahue</t>
  </si>
  <si>
    <t>Approval %</t>
  </si>
  <si>
    <t>King</t>
  </si>
  <si>
    <t>Zo III</t>
  </si>
  <si>
    <t>President approval</t>
  </si>
  <si>
    <t>Government mechanics</t>
  </si>
  <si>
    <t>Executive governing via emergency authority</t>
  </si>
  <si>
    <t>Parliament</t>
  </si>
  <si>
    <t>Disbanded</t>
  </si>
  <si>
    <t>Efficient Cabinet</t>
  </si>
  <si>
    <t>Political stability score (0-100)</t>
  </si>
  <si>
    <t>Still politically real even while suspended</t>
  </si>
  <si>
    <t>King approval</t>
  </si>
  <si>
    <t>Economy</t>
  </si>
  <si>
    <t>Stretched but functioning</t>
  </si>
  <si>
    <t>Debt + capital build + no oil cash yet</t>
  </si>
  <si>
    <t>Parliament seats</t>
  </si>
  <si>
    <t>Notes</t>
  </si>
  <si>
    <t>Lower is worse; derived from approval + risk scores</t>
  </si>
  <si>
    <t>Macro snapshot</t>
  </si>
  <si>
    <t>Majority threshold</t>
  </si>
  <si>
    <t>Core political risks (1-10)</t>
  </si>
  <si>
    <t>Baseline date</t>
  </si>
  <si>
    <t>Coup Risk</t>
  </si>
  <si>
    <t>Civil Unrest</t>
  </si>
  <si>
    <t>Parliamentary Collapse</t>
  </si>
  <si>
    <t>Foreign Intervention</t>
  </si>
  <si>
    <t>Public mood estimate</t>
  </si>
  <si>
    <t>Right of Center %</t>
  </si>
  <si>
    <t>Concerned moderates %</t>
  </si>
  <si>
    <t>Left of Center %</t>
  </si>
  <si>
    <t>GDP (USD)</t>
  </si>
  <si>
    <t>Party / Bloc</t>
  </si>
  <si>
    <t>Seats</t>
  </si>
  <si>
    <t>Status</t>
  </si>
  <si>
    <t>Current line</t>
  </si>
  <si>
    <t>Govt usable right now?</t>
  </si>
  <si>
    <t>Military</t>
  </si>
  <si>
    <t>Navy strong, everything else thin</t>
  </si>
  <si>
    <t>Artillery, AWACS, tanker, SAM gaps are real</t>
  </si>
  <si>
    <t>RRP</t>
  </si>
  <si>
    <t>GDP (USD B)</t>
  </si>
  <si>
    <t>Fragmented</t>
  </si>
  <si>
    <t>Executive-leaning but divided</t>
  </si>
  <si>
    <t>No</t>
  </si>
  <si>
    <t>Donahue base, but not fully controllable</t>
  </si>
  <si>
    <t>RCA</t>
  </si>
  <si>
    <t>Organized</t>
  </si>
  <si>
    <t>GDP (RMC)</t>
  </si>
  <si>
    <t>Royalist / anti-republic</t>
  </si>
  <si>
    <t>Zo-aligned, opportunistic</t>
  </si>
  <si>
    <t>NSF</t>
  </si>
  <si>
    <t>Real growth %</t>
  </si>
  <si>
    <t>Security-first / anti-UN</t>
  </si>
  <si>
    <t>Would back harder external posture</t>
  </si>
  <si>
    <t>LUP</t>
  </si>
  <si>
    <t>Disciplined</t>
  </si>
  <si>
    <t>Anti-war / anti-militarization</t>
  </si>
  <si>
    <t>Will resist reckless escalation</t>
  </si>
  <si>
    <t>Dalmatian Autonomy Bloc</t>
  </si>
  <si>
    <t>Angry</t>
  </si>
  <si>
    <t>Treaty grievance politics</t>
  </si>
  <si>
    <t>Treaty anger still active</t>
  </si>
  <si>
    <t>Independents / Fringe</t>
  </si>
  <si>
    <t>Transactional</t>
  </si>
  <si>
    <t>Seat-by-seat bargaining</t>
  </si>
  <si>
    <t>Deficit % GDP</t>
  </si>
  <si>
    <t>Can be peeled issue by issue</t>
  </si>
  <si>
    <t>Inflation %</t>
  </si>
  <si>
    <t>Total Seats</t>
  </si>
  <si>
    <t>FX reserves (USD)</t>
  </si>
  <si>
    <t>USSR front</t>
  </si>
  <si>
    <t>Active pressure</t>
  </si>
  <si>
    <t>Most dangerous external coercion line</t>
  </si>
  <si>
    <t>Public debt % GDP</t>
  </si>
  <si>
    <t>Official FX</t>
  </si>
  <si>
    <t>5.8 RMC/USD</t>
  </si>
  <si>
    <t>Market FX low</t>
  </si>
  <si>
    <t>6.1</t>
  </si>
  <si>
    <t>Market FX high</t>
  </si>
  <si>
    <t>6.3</t>
  </si>
  <si>
    <t>Revenue (USD)</t>
  </si>
  <si>
    <t>Spending (USD)</t>
  </si>
  <si>
    <t>Combat aircraft</t>
  </si>
  <si>
    <t>Deficit (USD)</t>
  </si>
  <si>
    <t>Turkey channel</t>
  </si>
  <si>
    <t>Useful but limited</t>
  </si>
  <si>
    <t>Partner, not savior</t>
  </si>
  <si>
    <t>Artillery pieces</t>
  </si>
  <si>
    <t>Majority Threshold</t>
  </si>
  <si>
    <t>Debt (USD)</t>
  </si>
  <si>
    <t>Most dangerous actor</t>
  </si>
  <si>
    <t>Debt % GDP</t>
  </si>
  <si>
    <t>UN posture</t>
  </si>
  <si>
    <t>Monitoring / soft-watch</t>
  </si>
  <si>
    <t>Optics matter</t>
  </si>
  <si>
    <t>Project Funding Coverage</t>
  </si>
  <si>
    <t>Avg bond yield low</t>
  </si>
  <si>
    <t>Avg bond yield high</t>
  </si>
  <si>
    <t>Project</t>
  </si>
  <si>
    <t>Economic strain score (0-100)</t>
  </si>
  <si>
    <t>Total Cost $B</t>
  </si>
  <si>
    <t>Paid Out $B</t>
  </si>
  <si>
    <t>Committed $B</t>
  </si>
  <si>
    <t>Unfunded Gap $B</t>
  </si>
  <si>
    <t>Work Left $B</t>
  </si>
  <si>
    <t>Monthly Execution $B</t>
  </si>
  <si>
    <t>Funding Coverage %</t>
  </si>
  <si>
    <t>Months to Finish</t>
  </si>
  <si>
    <t>Earliest ETA</t>
  </si>
  <si>
    <t>As Of Date</t>
  </si>
  <si>
    <t>Risk</t>
  </si>
  <si>
    <t>Funding Bar</t>
  </si>
  <si>
    <t>National Infrastructure Spine</t>
  </si>
  <si>
    <t>Budget categories (USD billions)</t>
  </si>
  <si>
    <t>Budget</t>
  </si>
  <si>
    <t>Defense &amp; readiness</t>
  </si>
  <si>
    <t>Wartime-level burden</t>
  </si>
  <si>
    <t>Interior / police / RIA</t>
  </si>
  <si>
    <t>Internal stability</t>
  </si>
  <si>
    <t>Veterans + health</t>
  </si>
  <si>
    <t>Politically untouchable</t>
  </si>
  <si>
    <t>Infrastructure</t>
  </si>
  <si>
    <t>Spine + ports + grid</t>
  </si>
  <si>
    <t>Energy &amp; industry</t>
  </si>
  <si>
    <t>Oil gamble / industry</t>
  </si>
  <si>
    <t>Education / training</t>
  </si>
  <si>
    <t>Long-payoff capacity</t>
  </si>
  <si>
    <t>Agriculture + food</t>
  </si>
  <si>
    <t>Food security + rural stability</t>
  </si>
  <si>
    <t>Social supports + housing</t>
  </si>
  <si>
    <t>Urban pressure valve</t>
  </si>
  <si>
    <t>Debt service</t>
  </si>
  <si>
    <t>Will rise if yields spike</t>
  </si>
  <si>
    <t>Intelligence / RNIA</t>
  </si>
  <si>
    <t>Opaque but critical</t>
  </si>
  <si>
    <t>Admin + justice</t>
  </si>
  <si>
    <t>Known waste zone</t>
  </si>
  <si>
    <t>Contingency reserve</t>
  </si>
  <si>
    <t>Shock absorber</t>
  </si>
  <si>
    <t>Soviet treaty line</t>
  </si>
  <si>
    <t>Buys time</t>
  </si>
  <si>
    <t>Total spending</t>
  </si>
  <si>
    <t>Quick read</t>
  </si>
  <si>
    <t>Oil revenue live now?</t>
  </si>
  <si>
    <t>No meaningful revenue</t>
  </si>
  <si>
    <t>Construction sector</t>
  </si>
  <si>
    <t>Overheating</t>
  </si>
  <si>
    <t>Investor flight</t>
  </si>
  <si>
    <t>Low-to-moderate</t>
  </si>
  <si>
    <t>Military sustainment window</t>
  </si>
  <si>
    <t>12-24 months at current path</t>
  </si>
  <si>
    <t>Main budget risk</t>
  </si>
  <si>
    <t>Defense + capital buildout before oil monetization</t>
  </si>
  <si>
    <t>Most flexible cash</t>
  </si>
  <si>
    <t>Company</t>
  </si>
  <si>
    <t>Partner</t>
  </si>
  <si>
    <t>Ownership / Control</t>
  </si>
  <si>
    <t>Tier</t>
  </si>
  <si>
    <t>Working Value USD $B</t>
  </si>
  <si>
    <t>Main Imports From Partner</t>
  </si>
  <si>
    <t>What They Do</t>
  </si>
  <si>
    <t>Main Exports To Partner</t>
  </si>
  <si>
    <t>Political Tie</t>
  </si>
  <si>
    <t>Strategic Importance 1 to 5</t>
  </si>
  <si>
    <t>Canon or Estimate</t>
  </si>
  <si>
    <t>Current Relationship</t>
  </si>
  <si>
    <t>Royla Oil</t>
  </si>
  <si>
    <t>Working Trade Balance</t>
  </si>
  <si>
    <t>King Zo holding network (majority); 15% stake in Royla sold to Shao Luxian Chinese partner</t>
  </si>
  <si>
    <t>France</t>
  </si>
  <si>
    <t>Primary</t>
  </si>
  <si>
    <t>Oil development vehicle; offshore capital; elite patronage and political leverage hub</t>
  </si>
  <si>
    <t>Aviation parts, defense systems, industrial finance</t>
  </si>
  <si>
    <t>Zo / RCA / business elite</t>
  </si>
  <si>
    <t>Refined metals, maritime services, light industrial goods</t>
  </si>
  <si>
    <t>Canon + working value estimate</t>
  </si>
  <si>
    <t>National Energy Directorate</t>
  </si>
  <si>
    <t>Warming</t>
  </si>
  <si>
    <t>Mild deficit</t>
  </si>
  <si>
    <t>State majority / government-controlled</t>
  </si>
  <si>
    <t>Canon partner; Mirage/defense relationship makes this strategically heavy</t>
  </si>
  <si>
    <t>State energy arm; controls majority oil rights; licensing, offshore coordination, refinery strategy</t>
  </si>
  <si>
    <t>Italy</t>
  </si>
  <si>
    <t>Executive / Curro technocrats / state</t>
  </si>
  <si>
    <t>Shipping inputs, industrial goods, commercial services</t>
  </si>
  <si>
    <t>Younger Industries</t>
  </si>
  <si>
    <t>Refined metals, maritime services, agricultural goods</t>
  </si>
  <si>
    <t>Younger industrial bloc / private-family aligned</t>
  </si>
  <si>
    <t>Neutral-positive</t>
  </si>
  <si>
    <t>Near balanced</t>
  </si>
  <si>
    <t>Defense manufacturing, transport, radar and electronics, military-industrial supplier</t>
  </si>
  <si>
    <t>Canon partner; exact goods mix estimated from geography and economy</t>
  </si>
  <si>
    <t>VP Younger / pro-modernization officers / industry</t>
  </si>
  <si>
    <t>Role canon, ownership+value estimated</t>
  </si>
  <si>
    <t>Turkey</t>
  </si>
  <si>
    <t>Horizon Dynamics</t>
  </si>
  <si>
    <t>Defense cooperation inputs, transport links, selected industrial goods</t>
  </si>
  <si>
    <t>State-backed defense industrial consolidation project (still forming)</t>
  </si>
  <si>
    <t>Maritime services, refined metals, agricultural goods</t>
  </si>
  <si>
    <t>Military-industrial consolidation, procurement backbone, strategic defense production</t>
  </si>
  <si>
    <t>Improving</t>
  </si>
  <si>
    <t>Executive / Defense technocrats / Curro-aligned industrial policy</t>
  </si>
  <si>
    <t>Canon partner; relationship strategically rising</t>
  </si>
  <si>
    <t>Germany</t>
  </si>
  <si>
    <t>Advanced machine tools, industrial equipment</t>
  </si>
  <si>
    <t>Refined metals, light industrial goods</t>
  </si>
  <si>
    <t>Pragmatic</t>
  </si>
  <si>
    <t>Canon directly names advanced machine tools from Germany</t>
  </si>
  <si>
    <t>United States</t>
  </si>
  <si>
    <t>Aviation parts, defense equipment, electronics channels</t>
  </si>
  <si>
    <t>Minerals, light industrial goods, services</t>
  </si>
  <si>
    <t>Strategic but conditional</t>
  </si>
  <si>
    <t>Deficit</t>
  </si>
  <si>
    <t>Canon directly ties US to defense-heavy trade and leverage</t>
  </si>
  <si>
    <t>China</t>
  </si>
  <si>
    <t>Secondary</t>
  </si>
  <si>
    <t>Capital link, possible machinery financing, strategic investment</t>
  </si>
  <si>
    <t>Future energy access, minerals, long-term industrial access</t>
  </si>
  <si>
    <t>New capital link</t>
  </si>
  <si>
    <t>Capital inflow / strategic</t>
  </si>
  <si>
    <t>Canon confirms new capital link and Chinese partner in Royla</t>
  </si>
  <si>
    <t>Serbia</t>
  </si>
  <si>
    <t>Quiet channels, selected overland trade, industrial/agricultural exchange</t>
  </si>
  <si>
    <t>Industrial goods, agricultural goods, quiet service flows</t>
  </si>
  <si>
    <t>Tactical cooperation</t>
  </si>
  <si>
    <t>Small surplus / quiet</t>
  </si>
  <si>
    <t>Relationship canon; exact trade mix estimated</t>
  </si>
  <si>
    <t>Balkan neighbors</t>
  </si>
  <si>
    <t>Food, transit goods, regional industrial inputs</t>
  </si>
  <si>
    <t>Light industrial goods, agricultural goods</t>
  </si>
  <si>
    <t>Mixed</t>
  </si>
  <si>
    <t>Grouped estimate for sheet usability</t>
  </si>
  <si>
    <t>Type</t>
  </si>
  <si>
    <t>Category</t>
  </si>
  <si>
    <t>Current_Status</t>
  </si>
  <si>
    <t>Primary_Partners</t>
  </si>
  <si>
    <t>Strategic_Note</t>
  </si>
  <si>
    <t>Import</t>
  </si>
  <si>
    <t>Aviation parts</t>
  </si>
  <si>
    <t>High dependence</t>
  </si>
  <si>
    <t>United States; France</t>
  </si>
  <si>
    <t>Critical for air force sustainment and modernization</t>
  </si>
  <si>
    <t>Electronics</t>
  </si>
  <si>
    <t>Moderate</t>
  </si>
  <si>
    <t>United States; Japan</t>
  </si>
  <si>
    <t>Canon lists electronics imports; Japan appears here as source even though not a top strategic partner</t>
  </si>
  <si>
    <t>Advanced machine tools</t>
  </si>
  <si>
    <t>High</t>
  </si>
  <si>
    <t>Important for industrial and defense productivity</t>
  </si>
  <si>
    <t>Petroleum derivatives</t>
  </si>
  <si>
    <t>External mix</t>
  </si>
  <si>
    <t>Oil is not online yet, so refined dependency remains</t>
  </si>
  <si>
    <t>Specialty steel</t>
  </si>
  <si>
    <t>Important for industry and defense inputs</t>
  </si>
  <si>
    <t>Export</t>
  </si>
  <si>
    <t>Minerals (rare earths, crystals)</t>
  </si>
  <si>
    <t>Strong</t>
  </si>
  <si>
    <t>France; Germany; US; China</t>
  </si>
  <si>
    <t>High-value export base</t>
  </si>
  <si>
    <t>Refined metals</t>
  </si>
  <si>
    <t>Italy; Germany; Turkey</t>
  </si>
  <si>
    <t>Industrial backbone export</t>
  </si>
  <si>
    <t>Maritime trade services</t>
  </si>
  <si>
    <t>Italy; Turkey; France</t>
  </si>
  <si>
    <t>Geography makes this a structural advantage</t>
  </si>
  <si>
    <t>Agricultural goods</t>
  </si>
  <si>
    <t>Balkans; Italy; Turkey</t>
  </si>
  <si>
    <t>Politically stabilizing, economically useful</t>
  </si>
  <si>
    <t>Light industrial goods</t>
  </si>
  <si>
    <t>Balkans; Germany; Italy</t>
  </si>
  <si>
    <t>Depends on domestic industrial stability</t>
  </si>
  <si>
    <t>Future oil (speculative)</t>
  </si>
  <si>
    <t>Not online</t>
  </si>
  <si>
    <t>N/A</t>
  </si>
  <si>
    <t>Transformative later, meaningless right now</t>
  </si>
  <si>
    <t>Dalmatian Development Program</t>
  </si>
  <si>
    <t>Agricultural Modernization</t>
  </si>
  <si>
    <t>Military / Readiness</t>
  </si>
  <si>
    <t>Energy &amp; Industrial Expansion</t>
  </si>
  <si>
    <t>Force snapshot</t>
  </si>
  <si>
    <t>Active duty (broad total)</t>
  </si>
  <si>
    <t>Army reserve</t>
  </si>
  <si>
    <t>RIA / National Guard</t>
  </si>
  <si>
    <t>Readiness score (0-100)</t>
  </si>
  <si>
    <t>Foreign Relations / Geopolitics</t>
  </si>
  <si>
    <t>Rail Modernization</t>
  </si>
  <si>
    <t>Attack helicopters</t>
  </si>
  <si>
    <t>Surface combatants</t>
  </si>
  <si>
    <t>Submarines</t>
  </si>
  <si>
    <t>Actor</t>
  </si>
  <si>
    <t>Modern MBTs</t>
  </si>
  <si>
    <t>Official posture</t>
  </si>
  <si>
    <t>Light tanks</t>
  </si>
  <si>
    <t>Private reality</t>
  </si>
  <si>
    <t>Older MBTs</t>
  </si>
  <si>
    <t>Leverage over Reunion</t>
  </si>
  <si>
    <t>Leverage we hold</t>
  </si>
  <si>
    <t>Risk (1-5)</t>
  </si>
  <si>
    <t>Likely next move</t>
  </si>
  <si>
    <t>Fuel reserve (full wartime tempo, days low)</t>
  </si>
  <si>
    <t>Fuel reserve (days high)</t>
  </si>
  <si>
    <t>Artillery high-intensity days low</t>
  </si>
  <si>
    <t>Geopolitical quick score</t>
  </si>
  <si>
    <t>Artillery days high</t>
  </si>
  <si>
    <t>Ammo reserve (full wartime tempo, days low)</t>
  </si>
  <si>
    <t xml:space="preserve">Ammo reserve (days high) </t>
  </si>
  <si>
    <t>Wants stability, compliance, no reckless drift</t>
  </si>
  <si>
    <t>FMS, IMF/market pressure, Bosnia intel awareness</t>
  </si>
  <si>
    <t>Regional utility / anti-Soviet buffer role</t>
  </si>
  <si>
    <t>Air defense</t>
  </si>
  <si>
    <t>Limited / sparse</t>
  </si>
  <si>
    <t>AWACS</t>
  </si>
  <si>
    <t>None operational</t>
  </si>
  <si>
    <t>Pressure quietly if Donahue overreaches</t>
  </si>
  <si>
    <t>Tankers</t>
  </si>
  <si>
    <t>Support continues if stable</t>
  </si>
  <si>
    <t>Average external pressure score (0-100)</t>
  </si>
  <si>
    <t>Defense Infrastructure</t>
  </si>
  <si>
    <t>Readiness ratings (1-5)</t>
  </si>
  <si>
    <t>Rating</t>
  </si>
  <si>
    <t>Why it looks like this</t>
  </si>
  <si>
    <t>Main bottlenecks</t>
  </si>
  <si>
    <t>Ground force readiness</t>
  </si>
  <si>
    <t>Too little artillery, mixed armor, uneven mobilization</t>
  </si>
  <si>
    <t>Artillery shortage</t>
  </si>
  <si>
    <t>12 operational tube pieces only</t>
  </si>
  <si>
    <t>Air force readiness</t>
  </si>
  <si>
    <t>27 combat aircraft, no AWACS, no tankers</t>
  </si>
  <si>
    <t>Air warning gap</t>
  </si>
  <si>
    <t>No operational AWACS</t>
  </si>
  <si>
    <t>Naval readiness</t>
  </si>
  <si>
    <t>Strong navy, but wider-war survivability still questionable with limited air</t>
  </si>
  <si>
    <t>Aerial refueling gap</t>
  </si>
  <si>
    <t>No tanker fleet</t>
  </si>
  <si>
    <t>Air defense readiness</t>
  </si>
  <si>
    <t>Sparse HAWK coverage, limited redundancy</t>
  </si>
  <si>
    <t>SAM / radar weakness</t>
  </si>
  <si>
    <t>Known sites, thin redundancy</t>
  </si>
  <si>
    <t>USSR</t>
  </si>
  <si>
    <t>Logistics sustainment</t>
  </si>
  <si>
    <t>Probing / opportunistic</t>
  </si>
  <si>
    <t>Wants leverage, delay oil, test cohesion</t>
  </si>
  <si>
    <t>Short artillery depth, limited prolonged high-intensity sustainment</t>
  </si>
  <si>
    <t>Military pressure, intimidation, gray-zone pressure</t>
  </si>
  <si>
    <t>National Oil Drilling</t>
  </si>
  <si>
    <t>Reunion navy can complicate but not dominate</t>
  </si>
  <si>
    <t>Sustainment issue</t>
  </si>
  <si>
    <t>Keep probing maritime/oil zone</t>
  </si>
  <si>
    <t>5-7 days high-intensity artillery, 10-14 days full-tempo fuel</t>
  </si>
  <si>
    <t>Most dangerous external actor</t>
  </si>
  <si>
    <t>Useful partner against Greece/USSR pressure</t>
  </si>
  <si>
    <t>Military access / regional channel</t>
  </si>
  <si>
    <t>Regional partnership, shared concerns</t>
  </si>
  <si>
    <t>Deepen quiet coordination</t>
  </si>
  <si>
    <t>Still pragmatic, not unconditional</t>
  </si>
  <si>
    <t>Best practical partner</t>
  </si>
  <si>
    <t>Turkey/France (conditional)</t>
  </si>
  <si>
    <t>Greece</t>
  </si>
  <si>
    <t>Complicated / rival</t>
  </si>
  <si>
    <t>Wary of Reunion-Turkey warming, holds grudge</t>
  </si>
  <si>
    <t>Oil overlap, regional narrative pressure</t>
  </si>
  <si>
    <t>Can internationalize dispute exposure</t>
  </si>
  <si>
    <t>Push on overlap and diplomacy</t>
  </si>
  <si>
    <t>Altis makes relations worse</t>
  </si>
  <si>
    <t>Unfunded_Gap_B = money still not locked</t>
  </si>
  <si>
    <t>Budget ($B)</t>
  </si>
  <si>
    <t>Useful counterbalance, arms and industrial link</t>
  </si>
  <si>
    <t>Work_Left_B = remaining execution left, even if funded</t>
  </si>
  <si>
    <t>Can slow hardware flow</t>
  </si>
  <si>
    <t>Procurement and political access</t>
  </si>
  <si>
    <t>Funding_Coverage_% = how much of the total is already paid or locked</t>
  </si>
  <si>
    <t>Stay engaged but cautious</t>
  </si>
  <si>
    <t>Watching internal stability</t>
  </si>
  <si>
    <t>Months_to_Finish = based on your monthly execution input</t>
  </si>
  <si>
    <t>Earliest_ETA = projected completion date from the canon date you enter</t>
  </si>
  <si>
    <t>Wants stability in Adriatic / Med</t>
  </si>
  <si>
    <t>TOTAL COST ALL PROJECTS BEFORE FUDGE</t>
  </si>
  <si>
    <t>Limited diplomatic weight</t>
  </si>
  <si>
    <t>Trade and economic ties</t>
  </si>
  <si>
    <t>Stay neutral unless wider war</t>
  </si>
  <si>
    <t>No major military alignment</t>
  </si>
  <si>
    <t>UN</t>
  </si>
  <si>
    <t>Cares about optics and restraint</t>
  </si>
  <si>
    <t>Investigation / sanctions narrative if you slip</t>
  </si>
  <si>
    <t>Date</t>
  </si>
  <si>
    <t>ARMY</t>
  </si>
  <si>
    <t>Can use as multilateral cover</t>
  </si>
  <si>
    <t>Push monitoring and mediation</t>
  </si>
  <si>
    <t>Already observing related crises</t>
  </si>
  <si>
    <t>TOTAL COST AFTER FUDGE</t>
  </si>
  <si>
    <t>Risk = quick management flag</t>
  </si>
  <si>
    <t>Bosnia</t>
  </si>
  <si>
    <t>Hostile</t>
  </si>
  <si>
    <t>Would weaponize narrative and leaks</t>
  </si>
  <si>
    <t>Blackmail, regional propaganda</t>
  </si>
  <si>
    <t>Quiet pressure via Serbia / intel</t>
  </si>
  <si>
    <t>Information warfare / proxy trouble</t>
  </si>
  <si>
    <t>Religious-framing risk</t>
  </si>
  <si>
    <t>Event</t>
  </si>
  <si>
    <t>Main effect on politics</t>
  </si>
  <si>
    <t>Pragmatic, not loyal</t>
  </si>
  <si>
    <t>Main effect on military / economy</t>
  </si>
  <si>
    <t>Disclosure threat, quiet leverage</t>
  </si>
  <si>
    <t>Security cooperation / shared enemies</t>
  </si>
  <si>
    <t>Stay useful while hedging</t>
  </si>
  <si>
    <t>1992-10-03 baseline</t>
  </si>
  <si>
    <t>Will recalc if pressured</t>
  </si>
  <si>
    <t>Canonical baseline loaded from uploaded files</t>
  </si>
  <si>
    <t>Reference</t>
  </si>
  <si>
    <t>Use as hard baseline for approvals, seats, budget, foreign posture</t>
  </si>
  <si>
    <t>Use as hard baseline for GDP, debt, military posture</t>
  </si>
  <si>
    <t>Croatia</t>
  </si>
  <si>
    <t>Cold peace</t>
  </si>
  <si>
    <t>Current campaign</t>
  </si>
  <si>
    <t>Treaty brittle, can weaponize violations</t>
  </si>
  <si>
    <t>President dissolved parliament (temporary)</t>
  </si>
  <si>
    <t>Legal treaty manipulation</t>
  </si>
  <si>
    <t>Domestic politics</t>
  </si>
  <si>
    <t>Some quiet deterrence only</t>
  </si>
  <si>
    <t>Executive stronger short-term; parliament still latent</t>
  </si>
  <si>
    <t>No direct force gain; higher optics risk</t>
  </si>
  <si>
    <t>Watch for treaty breaches</t>
  </si>
  <si>
    <t>AIR FORCE</t>
  </si>
  <si>
    <t>Can nullify over small infractions</t>
  </si>
  <si>
    <t>Altis ceasefire with UN observers and buffer zone</t>
  </si>
  <si>
    <t>Foreign / military</t>
  </si>
  <si>
    <t>Greece-Turkey crisis frozen, not solved</t>
  </si>
  <si>
    <t>Localized conflict paused; Turkey still at airport</t>
  </si>
  <si>
    <t>Budget finalization. Projects funded 100%. Military budget nearly complete.</t>
  </si>
  <si>
    <t>Domestic Economy</t>
  </si>
  <si>
    <t>NAVY</t>
  </si>
  <si>
    <t>Projects went ever so slightly overbudget, some numbers have been fudged</t>
  </si>
  <si>
    <t>Departments will begin work on Curros projects</t>
  </si>
  <si>
    <t>MARINES</t>
  </si>
  <si>
    <t>MISSILE/RADAR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</si>
</sst>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$#,##0.0&quot; B&quot;"/>
    <numFmt numFmtId="166" formatCode="$#,##0.0,,,&quot;B&quot;"/>
    <numFmt numFmtId="167" formatCode="0.0"/>
    <numFmt numFmtId="168" formatCode="0.0%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AF3DD"/>
        <bgColor rgb="FFEAF3DD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ill="1" applyFont="1"/>
    <xf borderId="0" fillId="3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164" xfId="0" applyAlignment="1" applyFont="1" applyNumberFormat="1">
      <alignment readingOrder="0"/>
    </xf>
    <xf borderId="0" fillId="0" fontId="3" numFmtId="164" xfId="0" applyAlignment="1" applyFont="1" applyNumberFormat="1">
      <alignment shrinkToFit="0" wrapText="1"/>
    </xf>
    <xf borderId="0" fillId="4" fontId="2" numFmtId="0" xfId="0" applyAlignment="1" applyFill="1" applyFont="1">
      <alignment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ill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1" numFmtId="165" xfId="0" applyAlignment="1" applyFill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  <xf borderId="0" fillId="0" fontId="3" numFmtId="1" xfId="0" applyAlignment="1" applyFont="1" applyNumberForma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167" xfId="0" applyAlignment="1" applyFont="1" applyNumberFormat="1">
      <alignment shrinkToFit="0" wrapText="1"/>
    </xf>
    <xf borderId="0" fillId="0" fontId="3" numFmtId="168" xfId="0" applyAlignment="1" applyFont="1" applyNumberFormat="1">
      <alignment shrinkToFit="0" wrapText="1"/>
    </xf>
    <xf borderId="0" fillId="5" fontId="2" numFmtId="0" xfId="0" applyAlignment="1" applyFill="1" applyFont="1">
      <alignment shrinkToFit="0" wrapText="1"/>
    </xf>
    <xf borderId="0" fillId="0" fontId="3" numFmtId="10" xfId="0" applyAlignment="1" applyFont="1" applyNumberForma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shrinkToFit="0" wrapText="1"/>
    </xf>
    <xf borderId="0" fillId="0" fontId="4" numFmtId="14" xfId="0" applyFont="1" applyNumberFormat="1"/>
    <xf borderId="0" fillId="5" fontId="2" numFmtId="165" xfId="0" applyAlignment="1" applyFill="1" applyFont="1" applyNumberFormat="1">
      <alignment shrinkToFit="0" wrapText="1"/>
    </xf>
    <xf borderId="0" fillId="3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2" fontId="3" numFmtId="0" xfId="0" applyAlignment="1" applyFill="1" applyFont="1">
      <alignment vertical="bottom"/>
    </xf>
    <xf borderId="0" fillId="5" fontId="4" numFmtId="0" xfId="0" applyAlignment="1" applyFill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10.0"/>
    <col customWidth="1" min="3" max="26" width="8.63"/>
  </cols>
  <sheetData>
    <row r="1" ht="26.25" customHeight="1">
      <c r="A1" s="1" t="s">
        <v>0</v>
      </c>
      <c r="B1" s="1"/>
      <c r="C1" s="2"/>
      <c r="D1" s="2"/>
    </row>
    <row r="2" ht="26.25" customHeight="1">
      <c r="A2" s="3" t="s">
        <v>4</v>
      </c>
      <c r="B2" s="4" t="s">
        <v>5</v>
      </c>
    </row>
    <row r="3" ht="26.25" customHeight="1">
      <c r="A3" s="3" t="s">
        <v>6</v>
      </c>
      <c r="B3" s="4" t="s">
        <v>7</v>
      </c>
    </row>
    <row r="4" ht="26.25" customHeight="1">
      <c r="A4" s="5"/>
      <c r="B4" s="4"/>
    </row>
    <row r="5" ht="15.0" customHeight="1">
      <c r="A5" s="5"/>
      <c r="B5" s="4"/>
    </row>
    <row r="6" ht="26.25" customHeight="1">
      <c r="A6" s="5"/>
      <c r="B6" s="4"/>
    </row>
    <row r="7" ht="26.25" customHeight="1">
      <c r="A7" s="5"/>
      <c r="B7" s="4"/>
    </row>
    <row r="8" ht="26.25" customHeight="1">
      <c r="A8" s="5"/>
      <c r="B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2.0"/>
    <col customWidth="1" min="3" max="3" width="11.13"/>
    <col customWidth="1" min="4" max="5" width="18.0"/>
    <col customWidth="1" min="6" max="6" width="14.0"/>
    <col customWidth="1" min="7" max="8" width="18.0"/>
    <col customWidth="1" min="9" max="9" width="28.0"/>
    <col customWidth="1" min="10" max="26" width="8.63"/>
  </cols>
  <sheetData>
    <row r="1" ht="26.25" customHeight="1">
      <c r="A1" s="1" t="s">
        <v>1</v>
      </c>
      <c r="B1" s="1"/>
      <c r="C1" s="1"/>
      <c r="D1" s="1"/>
      <c r="E1" s="1"/>
      <c r="F1" s="1"/>
      <c r="G1" s="1"/>
      <c r="H1" s="1"/>
      <c r="I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</row>
    <row r="3" ht="26.25" customHeight="1">
      <c r="A3" s="3" t="s">
        <v>8</v>
      </c>
      <c r="B3" s="3"/>
      <c r="C3" s="3"/>
      <c r="D3" s="3"/>
      <c r="E3" s="3"/>
      <c r="F3" s="3"/>
      <c r="G3" s="3"/>
      <c r="H3" s="3"/>
      <c r="I3" s="4"/>
    </row>
    <row r="4" ht="39.75" customHeight="1">
      <c r="A4" s="4" t="s">
        <v>10</v>
      </c>
      <c r="B4" s="4" t="s">
        <v>11</v>
      </c>
      <c r="C4" s="4"/>
      <c r="D4" s="6">
        <v>33880.0</v>
      </c>
      <c r="E4" s="4"/>
      <c r="F4" s="4"/>
      <c r="G4" s="4"/>
      <c r="H4" s="4"/>
      <c r="I4" s="4"/>
    </row>
    <row r="5" ht="26.25" customHeight="1">
      <c r="A5" s="4" t="s">
        <v>12</v>
      </c>
      <c r="B5" s="8">
        <f>Politics!B7</f>
        <v>44.6</v>
      </c>
      <c r="C5" s="4" t="s">
        <v>14</v>
      </c>
      <c r="D5" s="8">
        <f>Military!H4</f>
        <v>48</v>
      </c>
      <c r="E5" s="4" t="s">
        <v>15</v>
      </c>
      <c r="F5" s="8">
        <f>Economy!H9</f>
        <v>56.2</v>
      </c>
      <c r="G5" s="4" t="s">
        <v>16</v>
      </c>
      <c r="H5" s="8">
        <f>Foreign!K4</f>
        <v>66</v>
      </c>
      <c r="I5" s="4"/>
    </row>
    <row r="6" ht="57.0" customHeight="1">
      <c r="A6" s="4" t="s">
        <v>19</v>
      </c>
      <c r="B6" s="4" t="s">
        <v>20</v>
      </c>
      <c r="C6" s="4"/>
      <c r="D6" s="4"/>
      <c r="E6" s="4"/>
      <c r="F6" s="4"/>
      <c r="G6" s="4"/>
      <c r="H6" s="4"/>
      <c r="I6" s="4"/>
    </row>
    <row r="7" ht="1.5" customHeight="1">
      <c r="A7" s="4"/>
      <c r="B7" s="4"/>
      <c r="C7" s="4"/>
      <c r="D7" s="4"/>
      <c r="E7" s="4"/>
      <c r="F7" s="4"/>
      <c r="G7" s="4"/>
      <c r="H7" s="4"/>
      <c r="I7" s="4"/>
    </row>
    <row r="8" ht="26.25" customHeight="1">
      <c r="A8" s="3" t="s">
        <v>21</v>
      </c>
      <c r="B8" s="3"/>
      <c r="C8" s="3"/>
      <c r="D8" s="3"/>
      <c r="E8" s="3"/>
      <c r="F8" s="4"/>
      <c r="G8" s="1" t="s">
        <v>22</v>
      </c>
      <c r="H8" s="1" t="s">
        <v>23</v>
      </c>
      <c r="I8" s="1" t="s">
        <v>24</v>
      </c>
    </row>
    <row r="9" ht="26.25" customHeight="1">
      <c r="A9" s="4" t="s">
        <v>25</v>
      </c>
      <c r="B9" s="4" t="str">
        <f>Politics!B5</f>
        <v>Dax Donahue</v>
      </c>
      <c r="C9" s="4"/>
      <c r="D9" s="4" t="s">
        <v>30</v>
      </c>
      <c r="E9" s="4">
        <f>Politics!D5</f>
        <v>41</v>
      </c>
      <c r="F9" s="4"/>
      <c r="G9" s="4" t="s">
        <v>33</v>
      </c>
      <c r="H9" s="11" t="s">
        <v>34</v>
      </c>
      <c r="I9" s="4" t="s">
        <v>37</v>
      </c>
    </row>
    <row r="10" ht="26.25" customHeight="1">
      <c r="A10" s="4" t="s">
        <v>28</v>
      </c>
      <c r="B10" s="4" t="str">
        <f>Politics!F5</f>
        <v>Zo III</v>
      </c>
      <c r="C10" s="4"/>
      <c r="D10" s="4" t="s">
        <v>38</v>
      </c>
      <c r="E10" s="4">
        <f>Politics!H5</f>
        <v>48</v>
      </c>
      <c r="F10" s="4"/>
      <c r="G10" s="4" t="s">
        <v>39</v>
      </c>
      <c r="H10" s="4" t="s">
        <v>40</v>
      </c>
      <c r="I10" s="4" t="s">
        <v>41</v>
      </c>
    </row>
    <row r="11" ht="26.25" customHeight="1">
      <c r="A11" s="4" t="s">
        <v>42</v>
      </c>
      <c r="B11" s="4">
        <f>Politics!B21</f>
        <v>400</v>
      </c>
      <c r="C11" s="4"/>
      <c r="D11" s="4" t="s">
        <v>46</v>
      </c>
      <c r="E11" s="14">
        <f>Politics!B22</f>
        <v>201</v>
      </c>
      <c r="F11" s="4"/>
      <c r="G11" s="4" t="s">
        <v>63</v>
      </c>
      <c r="H11" s="4" t="s">
        <v>64</v>
      </c>
      <c r="I11" s="4" t="s">
        <v>65</v>
      </c>
    </row>
    <row r="12" ht="26.25" customHeight="1">
      <c r="A12" s="4" t="s">
        <v>67</v>
      </c>
      <c r="B12" s="16">
        <f>Economy!E4/1000000000</f>
        <v>400</v>
      </c>
      <c r="C12" s="4"/>
      <c r="D12" s="4" t="s">
        <v>92</v>
      </c>
      <c r="E12" s="17">
        <f>Economy!H8</f>
        <v>0.225</v>
      </c>
      <c r="F12" s="4"/>
      <c r="G12" s="4" t="s">
        <v>97</v>
      </c>
      <c r="H12" s="4" t="s">
        <v>98</v>
      </c>
      <c r="I12" s="4" t="s">
        <v>99</v>
      </c>
    </row>
    <row r="13" ht="15.0" customHeight="1">
      <c r="A13" s="4" t="s">
        <v>100</v>
      </c>
      <c r="B13" s="17">
        <f>Economy!E8</f>
        <v>0.3</v>
      </c>
      <c r="C13" s="4"/>
      <c r="D13" s="4" t="s">
        <v>109</v>
      </c>
      <c r="E13" s="16">
        <f>Military!B5</f>
        <v>27</v>
      </c>
      <c r="F13" s="4"/>
      <c r="G13" s="4" t="s">
        <v>111</v>
      </c>
      <c r="H13" s="4" t="s">
        <v>112</v>
      </c>
      <c r="I13" s="4" t="s">
        <v>113</v>
      </c>
    </row>
    <row r="14" ht="26.25" customHeight="1">
      <c r="A14" s="4" t="s">
        <v>114</v>
      </c>
      <c r="B14" s="4">
        <f>Military!H6</f>
        <v>12</v>
      </c>
      <c r="C14" s="4"/>
      <c r="D14" s="4" t="s">
        <v>117</v>
      </c>
      <c r="E14" s="17" t="str">
        <f>Foreign!K5</f>
        <v>USSR</v>
      </c>
      <c r="F14" s="4"/>
      <c r="G14" s="4" t="s">
        <v>119</v>
      </c>
      <c r="H14" s="4" t="s">
        <v>120</v>
      </c>
      <c r="I14" s="4" t="s">
        <v>121</v>
      </c>
    </row>
    <row r="15" ht="15.0" customHeight="1">
      <c r="A15" s="11" t="s">
        <v>122</v>
      </c>
      <c r="B15" s="4">
        <f>ROUND(AVERAGE(Projects!H2:H7),2)</f>
        <v>1</v>
      </c>
      <c r="C15" s="4"/>
      <c r="D15" s="4"/>
      <c r="E15" s="4"/>
      <c r="F15" s="4"/>
      <c r="G15" s="4"/>
      <c r="H15" s="4"/>
      <c r="I1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28.0"/>
    <col customWidth="1" min="3" max="3" width="16.0"/>
    <col customWidth="1" min="4" max="4" width="14.75"/>
    <col customWidth="1" min="5" max="5" width="18.0"/>
    <col customWidth="1" min="6" max="6" width="20.0"/>
    <col customWidth="1" min="7" max="7" width="14.0"/>
    <col customWidth="1" min="8" max="8" width="18.0"/>
    <col customWidth="1" min="9" max="26" width="8.63"/>
  </cols>
  <sheetData>
    <row r="1" ht="15.0" customHeight="1">
      <c r="A1" s="1" t="s">
        <v>2</v>
      </c>
      <c r="B1" s="1"/>
      <c r="C1" s="1"/>
      <c r="D1" s="1"/>
      <c r="E1" s="1"/>
      <c r="F1" s="1"/>
      <c r="G1" s="1"/>
      <c r="H1" s="1"/>
    </row>
    <row r="2" ht="15.0" customHeight="1">
      <c r="A2" s="4"/>
      <c r="B2" s="4"/>
      <c r="C2" s="4"/>
      <c r="D2" s="4"/>
      <c r="E2" s="4"/>
      <c r="F2" s="4"/>
      <c r="G2" s="4"/>
      <c r="H2" s="4"/>
    </row>
    <row r="3" ht="15.0" customHeight="1">
      <c r="A3" s="3" t="s">
        <v>9</v>
      </c>
      <c r="B3" s="3"/>
      <c r="C3" s="3"/>
      <c r="D3" s="3"/>
      <c r="E3" s="3"/>
      <c r="F3" s="3"/>
      <c r="G3" s="3"/>
      <c r="H3" s="3"/>
    </row>
    <row r="4" ht="39.75" customHeight="1">
      <c r="A4" s="7">
        <f>Dashboard!D4</f>
        <v>33880</v>
      </c>
      <c r="B4" s="9" t="s">
        <v>13</v>
      </c>
      <c r="C4" s="4"/>
      <c r="D4" s="4" t="s">
        <v>17</v>
      </c>
      <c r="E4" s="10" t="s">
        <v>18</v>
      </c>
      <c r="F4" s="4"/>
      <c r="G4" s="4"/>
      <c r="H4" s="4"/>
    </row>
    <row r="5" ht="15.0" customHeight="1">
      <c r="A5" s="4" t="s">
        <v>25</v>
      </c>
      <c r="B5" s="4" t="s">
        <v>26</v>
      </c>
      <c r="C5" s="4" t="s">
        <v>27</v>
      </c>
      <c r="D5" s="10">
        <v>41.0</v>
      </c>
      <c r="E5" s="4" t="s">
        <v>28</v>
      </c>
      <c r="F5" s="4" t="s">
        <v>29</v>
      </c>
      <c r="G5" s="4" t="s">
        <v>27</v>
      </c>
      <c r="H5" s="10">
        <v>48.0</v>
      </c>
    </row>
    <row r="6" ht="39.75" customHeight="1">
      <c r="A6" s="4" t="s">
        <v>31</v>
      </c>
      <c r="B6" s="11" t="s">
        <v>32</v>
      </c>
      <c r="C6" s="11" t="s">
        <v>35</v>
      </c>
      <c r="D6" s="4"/>
      <c r="E6" s="4"/>
      <c r="F6" s="4"/>
      <c r="G6" s="4"/>
      <c r="H6" s="4"/>
    </row>
    <row r="7" ht="39.75" customHeight="1">
      <c r="A7" s="4" t="s">
        <v>36</v>
      </c>
      <c r="B7" s="4">
        <f>ROUND(((((D5/100)*4)+(10-B10)+(10-D10)+(10-F10)+(10-H10))/44)*100,1)</f>
        <v>44.6</v>
      </c>
      <c r="C7" s="4"/>
      <c r="D7" s="4"/>
      <c r="E7" s="4" t="s">
        <v>43</v>
      </c>
      <c r="F7" s="4" t="s">
        <v>44</v>
      </c>
      <c r="G7" s="4"/>
      <c r="H7" s="4"/>
    </row>
    <row r="8" ht="1.5" customHeight="1">
      <c r="A8" s="4"/>
      <c r="B8" s="4"/>
      <c r="C8" s="4"/>
      <c r="D8" s="4"/>
      <c r="E8" s="4"/>
      <c r="F8" s="4"/>
      <c r="G8" s="4"/>
      <c r="H8" s="4"/>
    </row>
    <row r="9" ht="15.0" customHeight="1">
      <c r="A9" s="3" t="s">
        <v>47</v>
      </c>
      <c r="B9" s="3"/>
      <c r="C9" s="3"/>
      <c r="D9" s="3"/>
      <c r="E9" s="3"/>
      <c r="F9" s="3"/>
      <c r="G9" s="3"/>
      <c r="H9" s="3"/>
    </row>
    <row r="10" ht="26.25" customHeight="1">
      <c r="A10" s="4" t="s">
        <v>49</v>
      </c>
      <c r="B10" s="10">
        <v>4.0</v>
      </c>
      <c r="C10" s="4" t="s">
        <v>50</v>
      </c>
      <c r="D10" s="9">
        <v>5.0</v>
      </c>
      <c r="E10" s="4" t="s">
        <v>51</v>
      </c>
      <c r="F10" s="9">
        <v>10.0</v>
      </c>
      <c r="G10" s="4" t="s">
        <v>52</v>
      </c>
      <c r="H10" s="9">
        <v>3.0</v>
      </c>
    </row>
    <row r="11" ht="15.0" customHeight="1">
      <c r="A11" s="3" t="s">
        <v>53</v>
      </c>
      <c r="B11" s="3"/>
      <c r="C11" s="3"/>
      <c r="D11" s="3"/>
      <c r="E11" s="3"/>
      <c r="F11" s="3"/>
      <c r="G11" s="3"/>
      <c r="H11" s="3"/>
    </row>
    <row r="12" ht="26.25" customHeight="1">
      <c r="A12" s="11" t="s">
        <v>54</v>
      </c>
      <c r="B12" s="10">
        <v>35.0</v>
      </c>
      <c r="C12" s="4" t="s">
        <v>55</v>
      </c>
      <c r="D12" s="10">
        <v>40.0</v>
      </c>
      <c r="E12" s="11" t="s">
        <v>56</v>
      </c>
      <c r="F12" s="10">
        <v>25.0</v>
      </c>
      <c r="G12" s="4"/>
      <c r="H12" s="4"/>
    </row>
    <row r="13" ht="15.0" customHeight="1">
      <c r="A13" s="4"/>
      <c r="B13" s="4"/>
      <c r="C13" s="4"/>
      <c r="D13" s="4"/>
      <c r="E13" s="4"/>
      <c r="F13" s="4"/>
      <c r="G13" s="4"/>
      <c r="H13" s="4"/>
    </row>
    <row r="14" ht="26.25" customHeight="1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43</v>
      </c>
      <c r="G14" s="1"/>
      <c r="H14" s="1"/>
    </row>
    <row r="15" ht="26.25" customHeight="1">
      <c r="A15" s="4" t="s">
        <v>66</v>
      </c>
      <c r="B15" s="4">
        <v>118.0</v>
      </c>
      <c r="C15" s="4" t="s">
        <v>68</v>
      </c>
      <c r="D15" s="4" t="s">
        <v>69</v>
      </c>
      <c r="E15" s="11" t="s">
        <v>70</v>
      </c>
      <c r="F15" s="4" t="s">
        <v>71</v>
      </c>
      <c r="G15" s="4"/>
      <c r="H15" s="4"/>
    </row>
    <row r="16" ht="26.25" customHeight="1">
      <c r="A16" s="4" t="s">
        <v>72</v>
      </c>
      <c r="B16" s="4">
        <v>82.0</v>
      </c>
      <c r="C16" s="4" t="s">
        <v>73</v>
      </c>
      <c r="D16" s="4" t="s">
        <v>75</v>
      </c>
      <c r="E16" s="4" t="s">
        <v>70</v>
      </c>
      <c r="F16" s="4" t="s">
        <v>76</v>
      </c>
      <c r="G16" s="4"/>
      <c r="H16" s="4"/>
    </row>
    <row r="17" ht="26.25" customHeight="1">
      <c r="A17" s="4" t="s">
        <v>77</v>
      </c>
      <c r="B17" s="4">
        <v>64.0</v>
      </c>
      <c r="C17" s="11" t="s">
        <v>68</v>
      </c>
      <c r="D17" s="4" t="s">
        <v>79</v>
      </c>
      <c r="E17" s="4" t="s">
        <v>70</v>
      </c>
      <c r="F17" s="4" t="s">
        <v>80</v>
      </c>
      <c r="G17" s="4"/>
      <c r="H17" s="4"/>
    </row>
    <row r="18" ht="28.5" customHeight="1">
      <c r="A18" s="4" t="s">
        <v>81</v>
      </c>
      <c r="B18" s="4">
        <v>95.0</v>
      </c>
      <c r="C18" s="4" t="s">
        <v>82</v>
      </c>
      <c r="D18" s="4" t="s">
        <v>83</v>
      </c>
      <c r="E18" s="4" t="s">
        <v>70</v>
      </c>
      <c r="F18" s="4" t="s">
        <v>84</v>
      </c>
      <c r="G18" s="4"/>
      <c r="H18" s="4"/>
    </row>
    <row r="19" ht="28.5" customHeight="1">
      <c r="A19" s="4" t="s">
        <v>85</v>
      </c>
      <c r="B19" s="4">
        <v>18.0</v>
      </c>
      <c r="C19" s="4" t="s">
        <v>86</v>
      </c>
      <c r="D19" s="4" t="s">
        <v>87</v>
      </c>
      <c r="E19" s="4" t="s">
        <v>70</v>
      </c>
      <c r="F19" s="4" t="s">
        <v>88</v>
      </c>
      <c r="G19" s="4"/>
      <c r="H19" s="4"/>
    </row>
    <row r="20" ht="26.25" customHeight="1">
      <c r="A20" s="4" t="s">
        <v>89</v>
      </c>
      <c r="B20" s="4">
        <v>23.0</v>
      </c>
      <c r="C20" s="4" t="s">
        <v>90</v>
      </c>
      <c r="D20" s="4" t="s">
        <v>91</v>
      </c>
      <c r="E20" s="11" t="s">
        <v>70</v>
      </c>
      <c r="F20" s="4" t="s">
        <v>93</v>
      </c>
      <c r="G20" s="4"/>
      <c r="H20" s="4"/>
    </row>
    <row r="21" ht="15.0" customHeight="1">
      <c r="A21" s="18" t="s">
        <v>95</v>
      </c>
      <c r="B21" s="18">
        <f>SUM(B15:B20)</f>
        <v>400</v>
      </c>
      <c r="C21" s="18"/>
      <c r="D21" s="18"/>
      <c r="E21" s="18"/>
      <c r="F21" s="18"/>
      <c r="G21" s="18"/>
      <c r="H21" s="18"/>
    </row>
    <row r="22" ht="15.0" customHeight="1">
      <c r="A22" s="18" t="s">
        <v>115</v>
      </c>
      <c r="B22" s="18">
        <f>INT(B21/2)+1</f>
        <v>201</v>
      </c>
      <c r="C22" s="18"/>
      <c r="D22" s="18"/>
      <c r="E22" s="18"/>
      <c r="F22" s="18"/>
      <c r="G22" s="18"/>
      <c r="H22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14.0"/>
    <col customWidth="1" min="3" max="3" width="26.0"/>
    <col customWidth="1" min="4" max="4" width="16.0"/>
    <col customWidth="1" min="5" max="5" width="14.0"/>
    <col customWidth="1" min="6" max="6" width="6.0"/>
    <col customWidth="1" min="7" max="7" width="28.0"/>
    <col customWidth="1" min="8" max="11" width="14.0"/>
    <col customWidth="1" min="12" max="26" width="8.63"/>
  </cols>
  <sheetData>
    <row r="1" ht="26.25" customHeight="1">
      <c r="A1" s="1" t="s">
        <v>3</v>
      </c>
      <c r="B1" s="1"/>
      <c r="C1" s="1"/>
      <c r="D1" s="1"/>
      <c r="E1" s="1"/>
      <c r="F1" s="1"/>
      <c r="G1" s="1"/>
      <c r="H1" s="12"/>
      <c r="I1" s="13"/>
      <c r="J1" s="13"/>
      <c r="K1" s="13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5.0" customHeight="1">
      <c r="A3" s="3" t="s">
        <v>45</v>
      </c>
      <c r="B3" s="3"/>
      <c r="C3" s="3"/>
      <c r="D3" s="3"/>
      <c r="E3" s="3"/>
      <c r="F3" s="3"/>
      <c r="G3" s="3"/>
      <c r="H3" s="3"/>
      <c r="I3" s="4"/>
      <c r="J3" s="4"/>
      <c r="K3" s="4"/>
    </row>
    <row r="4" ht="26.25" customHeight="1">
      <c r="A4" s="4" t="s">
        <v>48</v>
      </c>
      <c r="B4" s="7">
        <f>Dashboard!D4</f>
        <v>33880</v>
      </c>
      <c r="C4" s="4"/>
      <c r="D4" s="4" t="s">
        <v>57</v>
      </c>
      <c r="E4" s="15">
        <v>4.0E11</v>
      </c>
      <c r="F4" s="4" t="s">
        <v>74</v>
      </c>
      <c r="G4" s="15">
        <v>2.32E12</v>
      </c>
      <c r="H4" s="15"/>
      <c r="I4" s="4"/>
      <c r="J4" s="4"/>
      <c r="K4" s="4"/>
    </row>
    <row r="5" ht="26.25" customHeight="1">
      <c r="A5" s="4" t="s">
        <v>78</v>
      </c>
      <c r="B5" s="17">
        <v>0.012</v>
      </c>
      <c r="C5" s="4"/>
      <c r="D5" s="17" t="s">
        <v>94</v>
      </c>
      <c r="E5" s="4">
        <v>0.038</v>
      </c>
      <c r="F5" s="4"/>
      <c r="G5" s="11" t="s">
        <v>96</v>
      </c>
      <c r="H5" s="15">
        <v>3.8E10</v>
      </c>
      <c r="I5" s="4"/>
      <c r="J5" s="4"/>
      <c r="K5" s="4"/>
    </row>
    <row r="6" ht="15.0" customHeight="1">
      <c r="A6" s="4" t="s">
        <v>101</v>
      </c>
      <c r="B6" s="4" t="s">
        <v>102</v>
      </c>
      <c r="C6" s="4"/>
      <c r="D6" s="4" t="s">
        <v>103</v>
      </c>
      <c r="E6" s="4" t="s">
        <v>104</v>
      </c>
      <c r="F6" s="4"/>
      <c r="G6" s="4" t="s">
        <v>105</v>
      </c>
      <c r="H6" s="4" t="s">
        <v>106</v>
      </c>
      <c r="I6" s="4"/>
      <c r="J6" s="4"/>
      <c r="K6" s="4"/>
    </row>
    <row r="7" ht="15.0" customHeight="1">
      <c r="A7" s="15" t="s">
        <v>107</v>
      </c>
      <c r="B7" s="4">
        <v>1.6E11</v>
      </c>
      <c r="C7" s="4"/>
      <c r="D7" s="15" t="s">
        <v>108</v>
      </c>
      <c r="E7" s="4">
        <v>2.5E11</v>
      </c>
      <c r="F7" s="4"/>
      <c r="G7" s="4" t="s">
        <v>110</v>
      </c>
      <c r="H7" s="15">
        <f>E7-B7</f>
        <v>90000000000</v>
      </c>
      <c r="I7" s="4"/>
      <c r="J7" s="4"/>
      <c r="K7" s="4"/>
    </row>
    <row r="8" ht="15.0" customHeight="1">
      <c r="A8" s="15" t="s">
        <v>116</v>
      </c>
      <c r="B8" s="4">
        <v>1.2E11</v>
      </c>
      <c r="C8" s="4"/>
      <c r="D8" s="4" t="s">
        <v>118</v>
      </c>
      <c r="E8" s="17">
        <f>B8/E4</f>
        <v>0.3</v>
      </c>
      <c r="F8" s="4"/>
      <c r="G8" s="4" t="s">
        <v>92</v>
      </c>
      <c r="H8" s="17">
        <f>H7/E4</f>
        <v>0.225</v>
      </c>
      <c r="I8" s="4"/>
      <c r="J8" s="4"/>
      <c r="K8" s="4"/>
    </row>
    <row r="9" ht="26.25" customHeight="1">
      <c r="A9" s="4" t="s">
        <v>123</v>
      </c>
      <c r="B9" s="17">
        <v>0.064</v>
      </c>
      <c r="C9" s="4"/>
      <c r="D9" s="17" t="s">
        <v>124</v>
      </c>
      <c r="E9" s="19">
        <v>0.071</v>
      </c>
      <c r="F9" s="4"/>
      <c r="G9" s="4" t="s">
        <v>126</v>
      </c>
      <c r="H9" s="4">
        <f>ROUND((H8*100*1.5)+(E8*100*0.5)+(B5*100*2)+IF(H4&lt;50000000000,5,0),1)</f>
        <v>56.2</v>
      </c>
      <c r="I9" s="4"/>
      <c r="J9" s="4"/>
      <c r="K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26.25" customHeight="1">
      <c r="A12" s="1" t="s">
        <v>140</v>
      </c>
      <c r="B12" s="1" t="s">
        <v>141</v>
      </c>
      <c r="C12" s="1" t="s">
        <v>43</v>
      </c>
      <c r="D12" s="1"/>
      <c r="E12" s="1"/>
      <c r="F12" s="4"/>
      <c r="G12" s="22"/>
      <c r="H12" s="22"/>
      <c r="I12" s="22"/>
      <c r="J12" s="22"/>
      <c r="K12" s="22"/>
    </row>
    <row r="13" ht="15.0" customHeight="1">
      <c r="A13" s="4" t="s">
        <v>142</v>
      </c>
      <c r="B13" s="13">
        <v>100.0</v>
      </c>
      <c r="C13" s="4" t="s">
        <v>143</v>
      </c>
      <c r="D13" s="4"/>
      <c r="E13" s="4"/>
      <c r="F13" s="4"/>
      <c r="G13" s="4"/>
      <c r="H13" s="4"/>
      <c r="I13" s="4"/>
      <c r="J13" s="4"/>
      <c r="K13" s="4"/>
    </row>
    <row r="14" ht="26.25" customHeight="1">
      <c r="A14" s="4" t="s">
        <v>144</v>
      </c>
      <c r="B14" s="13">
        <v>10.0</v>
      </c>
      <c r="C14" s="4" t="s">
        <v>145</v>
      </c>
      <c r="D14" s="4"/>
      <c r="E14" s="4"/>
      <c r="F14" s="4"/>
      <c r="G14" s="4"/>
      <c r="H14" s="4"/>
      <c r="I14" s="4"/>
      <c r="J14" s="4"/>
      <c r="K14" s="4"/>
    </row>
    <row r="15" ht="15.0" customHeight="1">
      <c r="A15" s="4" t="s">
        <v>146</v>
      </c>
      <c r="B15" s="13">
        <v>10.0</v>
      </c>
      <c r="C15" s="4" t="s">
        <v>147</v>
      </c>
      <c r="D15" s="4"/>
      <c r="E15" s="4"/>
      <c r="F15" s="4"/>
      <c r="G15" s="4"/>
      <c r="H15" s="4"/>
      <c r="I15" s="4"/>
      <c r="J15" s="4"/>
      <c r="K15" s="4"/>
    </row>
    <row r="16" ht="15.0" customHeight="1">
      <c r="A16" s="4" t="s">
        <v>148</v>
      </c>
      <c r="B16" s="13">
        <v>20.0</v>
      </c>
      <c r="C16" s="4" t="s">
        <v>149</v>
      </c>
      <c r="D16" s="4"/>
      <c r="E16" s="4"/>
      <c r="F16" s="4"/>
      <c r="G16" s="4"/>
      <c r="H16" s="4"/>
      <c r="I16" s="4"/>
      <c r="J16" s="4"/>
      <c r="K16" s="4"/>
    </row>
    <row r="17" ht="15.0" customHeight="1">
      <c r="A17" s="4" t="s">
        <v>150</v>
      </c>
      <c r="B17" s="13">
        <v>15.0</v>
      </c>
      <c r="C17" s="4" t="s">
        <v>151</v>
      </c>
      <c r="D17" s="4"/>
      <c r="E17" s="4"/>
      <c r="F17" s="4"/>
      <c r="G17" s="4"/>
      <c r="H17" s="4"/>
      <c r="I17" s="4"/>
      <c r="J17" s="4"/>
      <c r="K17" s="4"/>
    </row>
    <row r="18" ht="15.0" customHeight="1">
      <c r="A18" s="4" t="s">
        <v>152</v>
      </c>
      <c r="B18" s="13">
        <v>18.0</v>
      </c>
      <c r="C18" s="4" t="s">
        <v>153</v>
      </c>
      <c r="D18" s="4"/>
      <c r="E18" s="4"/>
      <c r="F18" s="4"/>
      <c r="G18" s="4"/>
      <c r="H18" s="4"/>
      <c r="I18" s="4"/>
      <c r="J18" s="4"/>
      <c r="K18" s="4"/>
    </row>
    <row r="19" ht="15.0" customHeight="1">
      <c r="A19" s="4" t="s">
        <v>154</v>
      </c>
      <c r="B19" s="13">
        <v>11.0</v>
      </c>
      <c r="C19" s="4" t="s">
        <v>155</v>
      </c>
      <c r="D19" s="4"/>
      <c r="E19" s="4"/>
      <c r="F19" s="4"/>
      <c r="G19" s="5"/>
      <c r="H19" s="5"/>
      <c r="I19" s="5"/>
      <c r="J19" s="5"/>
      <c r="K19" s="5"/>
    </row>
    <row r="20" ht="15.0" customHeight="1">
      <c r="A20" s="4" t="s">
        <v>156</v>
      </c>
      <c r="B20" s="13">
        <v>10.0</v>
      </c>
      <c r="C20" s="4" t="s">
        <v>157</v>
      </c>
      <c r="D20" s="4"/>
      <c r="E20" s="4"/>
      <c r="F20" s="4"/>
      <c r="G20" s="4"/>
      <c r="H20" s="4"/>
      <c r="I20" s="4"/>
      <c r="J20" s="4"/>
      <c r="K20" s="4"/>
    </row>
    <row r="21" ht="15.0" customHeight="1">
      <c r="A21" s="4" t="s">
        <v>158</v>
      </c>
      <c r="B21" s="13">
        <v>10.0</v>
      </c>
      <c r="C21" s="4" t="s">
        <v>159</v>
      </c>
      <c r="D21" s="4"/>
      <c r="E21" s="4"/>
      <c r="F21" s="4"/>
      <c r="G21" s="4"/>
      <c r="H21" s="4"/>
      <c r="I21" s="4"/>
      <c r="J21" s="4"/>
      <c r="K21" s="4"/>
    </row>
    <row r="22" ht="15.0" customHeight="1">
      <c r="A22" s="4" t="s">
        <v>160</v>
      </c>
      <c r="B22" s="13">
        <v>18.0</v>
      </c>
      <c r="C22" s="4" t="s">
        <v>161</v>
      </c>
      <c r="D22" s="4"/>
      <c r="E22" s="4"/>
      <c r="F22" s="4"/>
      <c r="G22" s="4"/>
      <c r="H22" s="4"/>
      <c r="I22" s="4"/>
      <c r="J22" s="4"/>
      <c r="K22" s="4"/>
    </row>
    <row r="23" ht="15.0" customHeight="1">
      <c r="A23" s="4" t="s">
        <v>162</v>
      </c>
      <c r="B23" s="13">
        <v>10.0</v>
      </c>
      <c r="C23" s="4" t="s">
        <v>163</v>
      </c>
      <c r="D23" s="4"/>
      <c r="E23" s="4"/>
      <c r="F23" s="4"/>
      <c r="G23" s="4"/>
      <c r="H23" s="4"/>
      <c r="I23" s="4"/>
      <c r="J23" s="4"/>
      <c r="K23" s="4"/>
    </row>
    <row r="24" ht="15.0" customHeight="1">
      <c r="A24" s="4" t="s">
        <v>164</v>
      </c>
      <c r="B24" s="13">
        <v>21.0</v>
      </c>
      <c r="C24" s="4" t="s">
        <v>165</v>
      </c>
      <c r="D24" s="4"/>
      <c r="E24" s="4"/>
      <c r="F24" s="4"/>
      <c r="G24" s="4"/>
      <c r="H24" s="4"/>
      <c r="I24" s="4"/>
      <c r="J24" s="4"/>
      <c r="K24" s="4"/>
    </row>
    <row r="25" ht="15.0" customHeight="1">
      <c r="A25" s="4" t="s">
        <v>166</v>
      </c>
      <c r="B25" s="13">
        <v>2.0</v>
      </c>
      <c r="C25" s="4" t="s">
        <v>167</v>
      </c>
      <c r="D25" s="4"/>
      <c r="E25" s="4"/>
      <c r="F25" s="4"/>
      <c r="G25" s="4"/>
      <c r="H25" s="4"/>
      <c r="I25" s="4"/>
      <c r="J25" s="4"/>
      <c r="K25" s="4"/>
    </row>
    <row r="26" ht="15.0" customHeight="1">
      <c r="A26" s="18" t="s">
        <v>168</v>
      </c>
      <c r="B26" s="24">
        <f>SUM(B13:B25)</f>
        <v>255</v>
      </c>
      <c r="C26" s="18"/>
      <c r="D26" s="18"/>
      <c r="E26" s="18"/>
      <c r="F26" s="4"/>
      <c r="G26" s="4"/>
      <c r="H26" s="4"/>
      <c r="I26" s="4"/>
      <c r="J26" s="4"/>
      <c r="K26" s="4"/>
    </row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3" t="s">
        <v>169</v>
      </c>
      <c r="B28" s="3"/>
      <c r="C28" s="3"/>
      <c r="D28" s="3"/>
      <c r="E28" s="3"/>
      <c r="F28" s="4"/>
      <c r="G28" s="4"/>
      <c r="H28" s="4"/>
      <c r="I28" s="4"/>
      <c r="J28" s="4"/>
      <c r="K28" s="4"/>
    </row>
    <row r="29" ht="26.25" customHeight="1">
      <c r="A29" s="4" t="s">
        <v>170</v>
      </c>
      <c r="B29" s="10" t="s">
        <v>171</v>
      </c>
      <c r="C29" s="4"/>
      <c r="D29" s="4" t="s">
        <v>172</v>
      </c>
      <c r="E29" s="10" t="s">
        <v>173</v>
      </c>
      <c r="F29" s="4"/>
      <c r="G29" s="4"/>
      <c r="H29" s="4"/>
      <c r="I29" s="4"/>
      <c r="J29" s="4"/>
      <c r="K29" s="4"/>
    </row>
    <row r="30" ht="39.75" customHeight="1">
      <c r="A30" s="4" t="s">
        <v>174</v>
      </c>
      <c r="B30" s="9" t="s">
        <v>175</v>
      </c>
      <c r="C30" s="4"/>
      <c r="D30" s="4" t="s">
        <v>176</v>
      </c>
      <c r="E30" s="9" t="s">
        <v>177</v>
      </c>
      <c r="F30" s="4"/>
      <c r="G30" s="4"/>
      <c r="H30" s="4"/>
      <c r="I30" s="4"/>
      <c r="J30" s="4"/>
      <c r="K30" s="4"/>
    </row>
    <row r="31" ht="53.25" customHeight="1">
      <c r="A31" s="4" t="s">
        <v>178</v>
      </c>
      <c r="B31" s="10" t="s">
        <v>179</v>
      </c>
      <c r="C31" s="4"/>
      <c r="D31" s="4" t="s">
        <v>180</v>
      </c>
      <c r="E31" s="10" t="s">
        <v>164</v>
      </c>
      <c r="F31" s="4"/>
      <c r="G31" s="4"/>
      <c r="H31" s="4"/>
      <c r="I31" s="4"/>
      <c r="J31" s="4"/>
      <c r="K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25"/>
    <col customWidth="1" min="5" max="5" width="14.63"/>
    <col customWidth="1" min="7" max="7" width="17.88"/>
    <col customWidth="1" min="8" max="8" width="17.38"/>
    <col customWidth="1" min="9" max="9" width="14.88"/>
    <col customWidth="1" min="10" max="10" width="13.38"/>
    <col customWidth="1" min="14" max="14" width="23.75"/>
  </cols>
  <sheetData>
    <row r="1">
      <c r="A1" s="20" t="s">
        <v>125</v>
      </c>
      <c r="B1" s="20" t="s">
        <v>127</v>
      </c>
      <c r="C1" s="20" t="s">
        <v>128</v>
      </c>
      <c r="D1" s="20" t="s">
        <v>129</v>
      </c>
      <c r="E1" s="20" t="s">
        <v>130</v>
      </c>
      <c r="F1" s="20" t="s">
        <v>131</v>
      </c>
      <c r="G1" s="20" t="s">
        <v>132</v>
      </c>
      <c r="H1" s="20" t="s">
        <v>133</v>
      </c>
      <c r="I1" s="20" t="s">
        <v>134</v>
      </c>
      <c r="J1" s="20" t="s">
        <v>135</v>
      </c>
      <c r="K1" s="20" t="s">
        <v>136</v>
      </c>
      <c r="L1" s="20" t="s">
        <v>137</v>
      </c>
      <c r="M1" s="20" t="s">
        <v>138</v>
      </c>
      <c r="N1" s="20" t="s">
        <v>43</v>
      </c>
    </row>
    <row r="2">
      <c r="A2" s="20" t="s">
        <v>139</v>
      </c>
      <c r="B2" s="20">
        <v>20.0</v>
      </c>
      <c r="C2" s="20">
        <v>7.0</v>
      </c>
      <c r="D2" s="20">
        <v>13.0</v>
      </c>
      <c r="E2" s="21">
        <f t="shared" ref="E2:E8" si="1">MAX(B2-C2-D2,0)</f>
        <v>0</v>
      </c>
      <c r="F2" s="21">
        <f t="shared" ref="F2:F8" si="2">MAX(B2-C2,0)</f>
        <v>13</v>
      </c>
      <c r="G2" s="20">
        <v>0.35</v>
      </c>
      <c r="H2" s="21">
        <f t="shared" ref="H2:H8" si="3">(C2+D2)/B2</f>
        <v>1</v>
      </c>
      <c r="I2" s="21">
        <f t="shared" ref="I2:I8" si="4">IF(G2&lt;=0,"",ROUND(F2/G2,1))</f>
        <v>37.1</v>
      </c>
      <c r="J2" s="23">
        <f t="shared" ref="J2:J5" si="5">IF(OR(G2&lt;=0,E2&gt;0),"Needs funding",EDATE(K2,ROUNDUP(I2,0)))</f>
        <v>35036</v>
      </c>
      <c r="K2" s="6">
        <f>Dashboard!D4</f>
        <v>33880</v>
      </c>
      <c r="L2" s="21" t="str">
        <f t="shared" ref="L2:L8" si="6">IF(G2&lt;=0,"Set rate",IF(E2&gt;0,"Funding gap",IF(I2&gt;48,"Long",IF(I2&gt;24,"Watch","On track"))))</f>
        <v>Watch</v>
      </c>
      <c r="M2" s="21" t="str">
        <f>IFERROR(__xludf.DUMMYFUNCTION("SPARKLINE(H2,{""charttype"",""bar"";""max"",1})"),"")</f>
        <v/>
      </c>
      <c r="N2" s="20"/>
    </row>
    <row r="3">
      <c r="A3" s="20" t="s">
        <v>302</v>
      </c>
      <c r="B3" s="20">
        <v>6.5</v>
      </c>
      <c r="C3" s="20">
        <v>1.1</v>
      </c>
      <c r="D3" s="20">
        <v>5.4</v>
      </c>
      <c r="E3" s="21">
        <f t="shared" si="1"/>
        <v>0</v>
      </c>
      <c r="F3" s="21">
        <f t="shared" si="2"/>
        <v>5.4</v>
      </c>
      <c r="G3" s="20">
        <v>0.12</v>
      </c>
      <c r="H3" s="21">
        <f t="shared" si="3"/>
        <v>1</v>
      </c>
      <c r="I3" s="21">
        <f t="shared" si="4"/>
        <v>45</v>
      </c>
      <c r="J3" s="23">
        <f t="shared" si="5"/>
        <v>35249</v>
      </c>
      <c r="K3" s="6">
        <f>Dashboard!D4</f>
        <v>33880</v>
      </c>
      <c r="L3" s="21" t="str">
        <f t="shared" si="6"/>
        <v>Watch</v>
      </c>
      <c r="M3" s="21" t="str">
        <f>IFERROR(__xludf.DUMMYFUNCTION("SPARKLINE(H3,{""charttype"",""bar"";""max"",1})"),"")</f>
        <v/>
      </c>
      <c r="N3" s="20"/>
    </row>
    <row r="4">
      <c r="A4" s="20" t="s">
        <v>303</v>
      </c>
      <c r="B4" s="20">
        <v>0.6</v>
      </c>
      <c r="C4" s="20">
        <v>0.32</v>
      </c>
      <c r="D4" s="20">
        <v>0.28</v>
      </c>
      <c r="E4" s="21">
        <f t="shared" si="1"/>
        <v>0</v>
      </c>
      <c r="F4" s="21">
        <f t="shared" si="2"/>
        <v>0.28</v>
      </c>
      <c r="G4" s="20">
        <v>0.03</v>
      </c>
      <c r="H4" s="21">
        <f t="shared" si="3"/>
        <v>1</v>
      </c>
      <c r="I4" s="21">
        <f t="shared" si="4"/>
        <v>9.3</v>
      </c>
      <c r="J4" s="23">
        <f t="shared" si="5"/>
        <v>34184</v>
      </c>
      <c r="K4" s="6">
        <f>Dashboard!D4</f>
        <v>33880</v>
      </c>
      <c r="L4" s="21" t="str">
        <f t="shared" si="6"/>
        <v>On track</v>
      </c>
      <c r="M4" s="21" t="str">
        <f>IFERROR(__xludf.DUMMYFUNCTION("SPARKLINE(H4,{""charttype"",""bar"";""max"",1})"),"")</f>
        <v/>
      </c>
    </row>
    <row r="5">
      <c r="A5" s="20" t="s">
        <v>305</v>
      </c>
      <c r="B5" s="20">
        <v>15.0</v>
      </c>
      <c r="C5" s="20">
        <v>5.2</v>
      </c>
      <c r="D5" s="20">
        <v>9.8</v>
      </c>
      <c r="E5" s="21">
        <f t="shared" si="1"/>
        <v>0</v>
      </c>
      <c r="F5" s="21">
        <f t="shared" si="2"/>
        <v>9.8</v>
      </c>
      <c r="G5" s="20">
        <v>0.25</v>
      </c>
      <c r="H5" s="21">
        <f t="shared" si="3"/>
        <v>1</v>
      </c>
      <c r="I5" s="21">
        <f t="shared" si="4"/>
        <v>39.2</v>
      </c>
      <c r="J5" s="23">
        <f t="shared" si="5"/>
        <v>35098</v>
      </c>
      <c r="K5" s="6">
        <f>Dashboard!D4</f>
        <v>33880</v>
      </c>
      <c r="L5" s="21" t="str">
        <f t="shared" si="6"/>
        <v>Watch</v>
      </c>
      <c r="M5" s="21" t="str">
        <f>IFERROR(__xludf.DUMMYFUNCTION("SPARKLINE(H5,{""charttype"",""bar"";""max"",1})"),"")</f>
        <v/>
      </c>
    </row>
    <row r="6">
      <c r="A6" s="20" t="s">
        <v>312</v>
      </c>
      <c r="B6" s="20">
        <v>3.7</v>
      </c>
      <c r="C6" s="20">
        <v>1.2</v>
      </c>
      <c r="D6" s="20">
        <v>2.5</v>
      </c>
      <c r="E6" s="21">
        <f t="shared" si="1"/>
        <v>0</v>
      </c>
      <c r="F6" s="21">
        <f t="shared" si="2"/>
        <v>2.5</v>
      </c>
      <c r="G6" s="20">
        <v>0.04</v>
      </c>
      <c r="H6" s="21">
        <f t="shared" si="3"/>
        <v>1</v>
      </c>
      <c r="I6" s="21">
        <f t="shared" si="4"/>
        <v>62.5</v>
      </c>
      <c r="J6" s="23">
        <f>IF(OR(G5&lt;=0,E5&gt;0),"Needs funding",EDATE(K5,ROUNDUP(I5,0)))</f>
        <v>35098</v>
      </c>
      <c r="K6" s="6">
        <f>Dashboard!D4</f>
        <v>33880</v>
      </c>
      <c r="L6" s="21" t="str">
        <f t="shared" si="6"/>
        <v>Long</v>
      </c>
      <c r="M6" s="21" t="str">
        <f>IFERROR(__xludf.DUMMYFUNCTION("SPARKLINE(H6,{""charttype"",""bar"";""max"",1})"),"")</f>
        <v/>
      </c>
    </row>
    <row r="7">
      <c r="A7" s="20" t="s">
        <v>344</v>
      </c>
      <c r="B7" s="20">
        <v>2.8</v>
      </c>
      <c r="C7" s="20">
        <v>1.4</v>
      </c>
      <c r="D7" s="20">
        <v>1.4</v>
      </c>
      <c r="E7" s="21">
        <f t="shared" si="1"/>
        <v>0</v>
      </c>
      <c r="F7" s="21">
        <f t="shared" si="2"/>
        <v>1.4</v>
      </c>
      <c r="G7" s="20">
        <v>0.08</v>
      </c>
      <c r="H7" s="21">
        <f t="shared" si="3"/>
        <v>1</v>
      </c>
      <c r="I7" s="21">
        <f t="shared" si="4"/>
        <v>17.5</v>
      </c>
      <c r="J7" s="23">
        <f t="shared" ref="J7:J8" si="7">IF(OR(G7&lt;=0,E7&gt;0),"Needs funding",EDATE(K7,ROUNDUP(I7,0)))</f>
        <v>34427</v>
      </c>
      <c r="K7" s="6">
        <f>Dashboard!D4</f>
        <v>33880</v>
      </c>
      <c r="L7" s="21" t="str">
        <f t="shared" si="6"/>
        <v>On track</v>
      </c>
      <c r="M7" s="21" t="str">
        <f>IFERROR(__xludf.DUMMYFUNCTION("SPARKLINE(H7,{""charttype"",""bar"";""max"",1})"),"")</f>
        <v/>
      </c>
    </row>
    <row r="8">
      <c r="A8" s="20" t="s">
        <v>371</v>
      </c>
      <c r="B8" s="20">
        <v>13.0</v>
      </c>
      <c r="C8" s="20">
        <v>8.5</v>
      </c>
      <c r="D8" s="20">
        <v>4.5</v>
      </c>
      <c r="E8" s="21">
        <f t="shared" si="1"/>
        <v>0</v>
      </c>
      <c r="F8" s="21">
        <f t="shared" si="2"/>
        <v>4.5</v>
      </c>
      <c r="G8" s="20">
        <v>0.15</v>
      </c>
      <c r="H8" s="21">
        <f t="shared" si="3"/>
        <v>1</v>
      </c>
      <c r="I8" s="21">
        <f t="shared" si="4"/>
        <v>30</v>
      </c>
      <c r="J8" s="23">
        <f t="shared" si="7"/>
        <v>34792</v>
      </c>
      <c r="K8" s="6">
        <f>Dashboard!D4</f>
        <v>33880</v>
      </c>
      <c r="L8" s="21" t="str">
        <f t="shared" si="6"/>
        <v>Watch</v>
      </c>
      <c r="M8" s="21" t="str">
        <f>IFERROR(__xludf.DUMMYFUNCTION("SPARKLINE(H8,{""charttype"",""bar"";""max"",1})"),"")</f>
        <v/>
      </c>
      <c r="N8" s="20"/>
    </row>
    <row r="11">
      <c r="A11" s="20" t="s">
        <v>391</v>
      </c>
    </row>
    <row r="12">
      <c r="A12" s="20" t="s">
        <v>394</v>
      </c>
    </row>
    <row r="13">
      <c r="A13" s="20" t="s">
        <v>397</v>
      </c>
    </row>
    <row r="14">
      <c r="A14" s="20" t="s">
        <v>400</v>
      </c>
    </row>
    <row r="15">
      <c r="A15" s="20" t="s">
        <v>401</v>
      </c>
      <c r="F15" s="30" t="s">
        <v>403</v>
      </c>
      <c r="G15" s="30" t="s">
        <v>416</v>
      </c>
    </row>
    <row r="16">
      <c r="A16" s="20" t="s">
        <v>417</v>
      </c>
      <c r="F16" s="21">
        <f>SUM(B2:B8)</f>
        <v>61.6</v>
      </c>
      <c r="G16" s="21">
        <f>SUM(B2:B8)-2.9-4.1-13</f>
        <v>41.6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68.5"/>
    <col customWidth="1" min="3" max="3" width="18.63"/>
    <col customWidth="1" min="4" max="4" width="76.38"/>
    <col customWidth="1" min="5" max="5" width="49.88"/>
    <col customWidth="1" min="6" max="6" width="31.75"/>
    <col customWidth="1" min="7" max="7" width="68.63"/>
  </cols>
  <sheetData>
    <row r="1">
      <c r="A1" s="20" t="s">
        <v>181</v>
      </c>
      <c r="B1" s="20" t="s">
        <v>183</v>
      </c>
      <c r="C1" s="20" t="s">
        <v>185</v>
      </c>
      <c r="D1" s="20" t="s">
        <v>187</v>
      </c>
      <c r="E1" s="20" t="s">
        <v>189</v>
      </c>
      <c r="F1" s="20" t="s">
        <v>191</v>
      </c>
    </row>
    <row r="2">
      <c r="A2" s="20" t="s">
        <v>193</v>
      </c>
      <c r="B2" s="20" t="s">
        <v>195</v>
      </c>
      <c r="C2" s="20">
        <v>4.8</v>
      </c>
      <c r="D2" s="20" t="s">
        <v>198</v>
      </c>
      <c r="E2" s="20" t="s">
        <v>200</v>
      </c>
      <c r="F2" s="20" t="s">
        <v>202</v>
      </c>
    </row>
    <row r="3">
      <c r="A3" s="20" t="s">
        <v>203</v>
      </c>
      <c r="B3" s="20" t="s">
        <v>206</v>
      </c>
      <c r="C3" s="20">
        <v>18.0</v>
      </c>
      <c r="D3" s="20" t="s">
        <v>208</v>
      </c>
      <c r="E3" s="20" t="s">
        <v>210</v>
      </c>
      <c r="F3" s="20" t="s">
        <v>202</v>
      </c>
    </row>
    <row r="4">
      <c r="A4" s="20" t="s">
        <v>212</v>
      </c>
      <c r="B4" s="20" t="s">
        <v>214</v>
      </c>
      <c r="C4" s="20">
        <v>9.5</v>
      </c>
      <c r="D4" s="20" t="s">
        <v>217</v>
      </c>
      <c r="E4" s="20" t="s">
        <v>219</v>
      </c>
      <c r="F4" s="20" t="s">
        <v>220</v>
      </c>
    </row>
    <row r="5">
      <c r="A5" s="20" t="s">
        <v>222</v>
      </c>
      <c r="B5" s="20" t="s">
        <v>224</v>
      </c>
      <c r="C5" s="20">
        <v>6.0</v>
      </c>
      <c r="D5" s="20" t="s">
        <v>226</v>
      </c>
      <c r="E5" s="20" t="s">
        <v>228</v>
      </c>
      <c r="F5" s="20" t="s">
        <v>220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6.75"/>
    <col customWidth="1" min="3" max="3" width="55.88"/>
    <col customWidth="1" min="4" max="4" width="45.38"/>
    <col customWidth="1" min="5" max="5" width="76.25"/>
    <col customWidth="1" min="6" max="6" width="18.63"/>
    <col customWidth="1" min="7" max="7" width="19.63"/>
    <col customWidth="1" min="8" max="8" width="56.88"/>
  </cols>
  <sheetData>
    <row r="1">
      <c r="A1" s="20" t="s">
        <v>182</v>
      </c>
      <c r="B1" s="20" t="s">
        <v>184</v>
      </c>
      <c r="C1" s="20" t="s">
        <v>186</v>
      </c>
      <c r="D1" s="20" t="s">
        <v>188</v>
      </c>
      <c r="E1" s="20" t="s">
        <v>190</v>
      </c>
      <c r="F1" s="20" t="s">
        <v>192</v>
      </c>
      <c r="G1" s="20" t="s">
        <v>194</v>
      </c>
      <c r="H1" s="20" t="s">
        <v>43</v>
      </c>
    </row>
    <row r="2">
      <c r="A2" s="20" t="s">
        <v>196</v>
      </c>
      <c r="B2" s="20" t="s">
        <v>197</v>
      </c>
      <c r="C2" s="20" t="s">
        <v>199</v>
      </c>
      <c r="D2" s="20" t="s">
        <v>201</v>
      </c>
      <c r="E2" s="20">
        <v>5.0</v>
      </c>
      <c r="F2" s="20" t="s">
        <v>204</v>
      </c>
      <c r="G2" s="20" t="s">
        <v>205</v>
      </c>
      <c r="H2" s="20" t="s">
        <v>207</v>
      </c>
    </row>
    <row r="3">
      <c r="A3" s="20" t="s">
        <v>209</v>
      </c>
      <c r="B3" s="20" t="s">
        <v>197</v>
      </c>
      <c r="C3" s="20" t="s">
        <v>211</v>
      </c>
      <c r="D3" s="20" t="s">
        <v>213</v>
      </c>
      <c r="E3" s="20">
        <v>4.0</v>
      </c>
      <c r="F3" s="20" t="s">
        <v>215</v>
      </c>
      <c r="G3" s="20" t="s">
        <v>216</v>
      </c>
      <c r="H3" s="20" t="s">
        <v>218</v>
      </c>
    </row>
    <row r="4">
      <c r="A4" s="20" t="s">
        <v>221</v>
      </c>
      <c r="B4" s="20" t="s">
        <v>197</v>
      </c>
      <c r="C4" s="20" t="s">
        <v>223</v>
      </c>
      <c r="D4" s="20" t="s">
        <v>225</v>
      </c>
      <c r="E4" s="20">
        <v>4.0</v>
      </c>
      <c r="F4" s="20" t="s">
        <v>227</v>
      </c>
      <c r="G4" s="20" t="s">
        <v>216</v>
      </c>
      <c r="H4" s="20" t="s">
        <v>229</v>
      </c>
    </row>
    <row r="5">
      <c r="A5" s="20" t="s">
        <v>230</v>
      </c>
      <c r="B5" s="20" t="s">
        <v>197</v>
      </c>
      <c r="C5" s="20" t="s">
        <v>231</v>
      </c>
      <c r="D5" s="20" t="s">
        <v>232</v>
      </c>
      <c r="E5" s="20">
        <v>5.0</v>
      </c>
      <c r="F5" s="20" t="s">
        <v>233</v>
      </c>
      <c r="G5" s="20" t="s">
        <v>205</v>
      </c>
      <c r="H5" s="20" t="s">
        <v>234</v>
      </c>
    </row>
    <row r="6">
      <c r="A6" s="20" t="s">
        <v>235</v>
      </c>
      <c r="B6" s="20" t="s">
        <v>197</v>
      </c>
      <c r="C6" s="20" t="s">
        <v>236</v>
      </c>
      <c r="D6" s="20" t="s">
        <v>237</v>
      </c>
      <c r="E6" s="20">
        <v>5.0</v>
      </c>
      <c r="F6" s="20" t="s">
        <v>238</v>
      </c>
      <c r="G6" s="20" t="s">
        <v>239</v>
      </c>
      <c r="H6" s="20" t="s">
        <v>240</v>
      </c>
    </row>
    <row r="7">
      <c r="A7" s="20" t="s">
        <v>241</v>
      </c>
      <c r="B7" s="20" t="s">
        <v>242</v>
      </c>
      <c r="C7" s="20" t="s">
        <v>243</v>
      </c>
      <c r="D7" s="20" t="s">
        <v>244</v>
      </c>
      <c r="E7" s="20">
        <v>3.0</v>
      </c>
      <c r="F7" s="20" t="s">
        <v>245</v>
      </c>
      <c r="G7" s="20" t="s">
        <v>246</v>
      </c>
      <c r="H7" s="20" t="s">
        <v>247</v>
      </c>
    </row>
    <row r="8">
      <c r="A8" s="20" t="s">
        <v>248</v>
      </c>
      <c r="B8" s="20" t="s">
        <v>242</v>
      </c>
      <c r="C8" s="20" t="s">
        <v>249</v>
      </c>
      <c r="D8" s="20" t="s">
        <v>250</v>
      </c>
      <c r="E8" s="20">
        <v>2.0</v>
      </c>
      <c r="F8" s="20" t="s">
        <v>251</v>
      </c>
      <c r="G8" s="20" t="s">
        <v>252</v>
      </c>
      <c r="H8" s="20" t="s">
        <v>253</v>
      </c>
    </row>
    <row r="9">
      <c r="A9" s="20" t="s">
        <v>254</v>
      </c>
      <c r="B9" s="20" t="s">
        <v>242</v>
      </c>
      <c r="C9" s="20" t="s">
        <v>255</v>
      </c>
      <c r="D9" s="20" t="s">
        <v>256</v>
      </c>
      <c r="E9" s="20">
        <v>2.0</v>
      </c>
      <c r="F9" s="20" t="s">
        <v>257</v>
      </c>
      <c r="G9" s="20" t="s">
        <v>216</v>
      </c>
      <c r="H9" s="20" t="s">
        <v>258</v>
      </c>
    </row>
    <row r="15">
      <c r="A15" s="20" t="s">
        <v>259</v>
      </c>
      <c r="B15" s="20" t="s">
        <v>260</v>
      </c>
      <c r="C15" s="20" t="s">
        <v>261</v>
      </c>
      <c r="D15" s="20" t="s">
        <v>262</v>
      </c>
      <c r="E15" s="20" t="s">
        <v>263</v>
      </c>
    </row>
    <row r="16">
      <c r="A16" s="25" t="s">
        <v>264</v>
      </c>
      <c r="B16" s="20" t="s">
        <v>265</v>
      </c>
      <c r="C16" s="20" t="s">
        <v>266</v>
      </c>
      <c r="D16" s="20" t="s">
        <v>267</v>
      </c>
      <c r="E16" s="20" t="s">
        <v>268</v>
      </c>
    </row>
    <row r="17">
      <c r="A17" s="25" t="s">
        <v>264</v>
      </c>
      <c r="B17" s="20" t="s">
        <v>269</v>
      </c>
      <c r="C17" s="20" t="s">
        <v>270</v>
      </c>
      <c r="D17" s="20" t="s">
        <v>271</v>
      </c>
      <c r="E17" s="20" t="s">
        <v>272</v>
      </c>
    </row>
    <row r="18">
      <c r="A18" s="25" t="s">
        <v>264</v>
      </c>
      <c r="B18" s="20" t="s">
        <v>273</v>
      </c>
      <c r="C18" s="20" t="s">
        <v>274</v>
      </c>
      <c r="D18" s="20" t="s">
        <v>230</v>
      </c>
      <c r="E18" s="20" t="s">
        <v>275</v>
      </c>
    </row>
    <row r="19">
      <c r="A19" s="25" t="s">
        <v>264</v>
      </c>
      <c r="B19" s="20" t="s">
        <v>276</v>
      </c>
      <c r="C19" s="20" t="s">
        <v>270</v>
      </c>
      <c r="D19" s="20" t="s">
        <v>277</v>
      </c>
      <c r="E19" s="20" t="s">
        <v>278</v>
      </c>
    </row>
    <row r="20">
      <c r="A20" s="25" t="s">
        <v>264</v>
      </c>
      <c r="B20" s="20" t="s">
        <v>279</v>
      </c>
      <c r="C20" s="20" t="s">
        <v>270</v>
      </c>
      <c r="D20" s="20" t="s">
        <v>277</v>
      </c>
      <c r="E20" s="20" t="s">
        <v>280</v>
      </c>
    </row>
    <row r="21">
      <c r="A21" s="26" t="s">
        <v>281</v>
      </c>
      <c r="B21" s="20" t="s">
        <v>282</v>
      </c>
      <c r="C21" s="20" t="s">
        <v>283</v>
      </c>
      <c r="D21" s="20" t="s">
        <v>284</v>
      </c>
      <c r="E21" s="20" t="s">
        <v>285</v>
      </c>
    </row>
    <row r="22">
      <c r="A22" s="26" t="s">
        <v>281</v>
      </c>
      <c r="B22" s="20" t="s">
        <v>286</v>
      </c>
      <c r="C22" s="20" t="s">
        <v>283</v>
      </c>
      <c r="D22" s="20" t="s">
        <v>287</v>
      </c>
      <c r="E22" s="20" t="s">
        <v>288</v>
      </c>
    </row>
    <row r="23">
      <c r="A23" s="26" t="s">
        <v>281</v>
      </c>
      <c r="B23" s="20" t="s">
        <v>289</v>
      </c>
      <c r="C23" s="20" t="s">
        <v>283</v>
      </c>
      <c r="D23" s="20" t="s">
        <v>290</v>
      </c>
      <c r="E23" s="20" t="s">
        <v>291</v>
      </c>
    </row>
    <row r="24">
      <c r="A24" s="26" t="s">
        <v>281</v>
      </c>
      <c r="B24" s="20" t="s">
        <v>292</v>
      </c>
      <c r="C24" s="20" t="s">
        <v>270</v>
      </c>
      <c r="D24" s="20" t="s">
        <v>293</v>
      </c>
      <c r="E24" s="20" t="s">
        <v>294</v>
      </c>
    </row>
    <row r="25">
      <c r="A25" s="26" t="s">
        <v>281</v>
      </c>
      <c r="B25" s="20" t="s">
        <v>295</v>
      </c>
      <c r="C25" s="20" t="s">
        <v>270</v>
      </c>
      <c r="D25" s="20" t="s">
        <v>296</v>
      </c>
      <c r="E25" s="20" t="s">
        <v>297</v>
      </c>
    </row>
    <row r="26">
      <c r="A26" s="26" t="s">
        <v>281</v>
      </c>
      <c r="B26" s="20" t="s">
        <v>298</v>
      </c>
      <c r="C26" s="20" t="s">
        <v>299</v>
      </c>
      <c r="D26" s="20" t="s">
        <v>300</v>
      </c>
      <c r="E26" s="20" t="s">
        <v>301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4.0"/>
    <col customWidth="1" min="3" max="3" width="32.88"/>
    <col customWidth="1" min="4" max="4" width="14.0"/>
    <col customWidth="1" min="5" max="5" width="22.0"/>
    <col customWidth="1" min="6" max="6" width="14.0"/>
    <col customWidth="1" min="7" max="7" width="24.0"/>
    <col customWidth="1" min="8" max="8" width="16.0"/>
    <col customWidth="1" min="9" max="11" width="18.0"/>
    <col customWidth="1" min="12" max="26" width="8.63"/>
  </cols>
  <sheetData>
    <row r="1" ht="15.0" customHeight="1">
      <c r="A1" s="1" t="s">
        <v>304</v>
      </c>
      <c r="B1" s="1"/>
      <c r="C1" s="1"/>
      <c r="D1" s="1"/>
      <c r="E1" s="1"/>
      <c r="F1" s="1"/>
      <c r="G1" s="1"/>
      <c r="H1" s="1"/>
      <c r="I1" s="4"/>
      <c r="J1" s="4"/>
      <c r="K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5.0" customHeight="1">
      <c r="A3" s="3" t="s">
        <v>306</v>
      </c>
      <c r="B3" s="3"/>
      <c r="C3" s="3"/>
      <c r="D3" s="3"/>
      <c r="E3" s="3"/>
      <c r="F3" s="3"/>
      <c r="G3" s="3"/>
      <c r="H3" s="3"/>
      <c r="I3" s="4"/>
      <c r="J3" s="4"/>
      <c r="K3" s="4"/>
    </row>
    <row r="4" ht="15.0" customHeight="1">
      <c r="A4" s="4" t="s">
        <v>307</v>
      </c>
      <c r="B4" s="4">
        <v>70000.0</v>
      </c>
      <c r="C4" s="4" t="s">
        <v>308</v>
      </c>
      <c r="D4" s="4">
        <v>32000.0</v>
      </c>
      <c r="E4" s="4" t="s">
        <v>309</v>
      </c>
      <c r="F4" s="4">
        <v>17000.0</v>
      </c>
      <c r="G4" s="4" t="s">
        <v>310</v>
      </c>
      <c r="H4" s="4">
        <f>ROUND((SUM(B12:B16)/COUNT(B12:B16))*20,1)</f>
        <v>48</v>
      </c>
      <c r="I4" s="4"/>
      <c r="J4" s="4"/>
      <c r="K4" s="4"/>
    </row>
    <row r="5" ht="15.0" customHeight="1">
      <c r="A5" s="4" t="s">
        <v>109</v>
      </c>
      <c r="B5" s="4">
        <v>27.0</v>
      </c>
      <c r="C5" s="4" t="s">
        <v>313</v>
      </c>
      <c r="D5" s="4">
        <v>8.0</v>
      </c>
      <c r="E5" s="4" t="s">
        <v>314</v>
      </c>
      <c r="F5" s="4">
        <v>42.0</v>
      </c>
      <c r="G5" s="4" t="s">
        <v>315</v>
      </c>
      <c r="H5" s="4">
        <v>9.0</v>
      </c>
      <c r="I5" s="4"/>
      <c r="J5" s="4"/>
      <c r="K5" s="4"/>
    </row>
    <row r="6" ht="15.0" customHeight="1">
      <c r="A6" s="4" t="s">
        <v>317</v>
      </c>
      <c r="B6" s="4">
        <v>31.0</v>
      </c>
      <c r="C6" s="4" t="s">
        <v>319</v>
      </c>
      <c r="D6" s="4">
        <v>29.0</v>
      </c>
      <c r="E6" s="4" t="s">
        <v>321</v>
      </c>
      <c r="F6" s="4">
        <v>18.0</v>
      </c>
      <c r="G6" s="4" t="s">
        <v>114</v>
      </c>
      <c r="H6" s="4">
        <v>12.0</v>
      </c>
      <c r="I6" s="4"/>
      <c r="J6" s="4"/>
      <c r="K6" s="4"/>
    </row>
    <row r="7" ht="26.25" customHeight="1">
      <c r="A7" s="4" t="s">
        <v>326</v>
      </c>
      <c r="B7" s="4">
        <v>10.0</v>
      </c>
      <c r="C7" s="4" t="s">
        <v>327</v>
      </c>
      <c r="D7" s="4">
        <v>14.0</v>
      </c>
      <c r="E7" s="4" t="s">
        <v>328</v>
      </c>
      <c r="F7" s="4">
        <v>5.0</v>
      </c>
      <c r="G7" s="4" t="s">
        <v>330</v>
      </c>
      <c r="H7" s="4">
        <v>7.0</v>
      </c>
      <c r="I7" s="4"/>
      <c r="J7" s="4"/>
      <c r="K7" s="4"/>
    </row>
    <row r="8" ht="26.25" customHeight="1">
      <c r="A8" s="11" t="s">
        <v>331</v>
      </c>
      <c r="B8" s="11">
        <v>28.0</v>
      </c>
      <c r="C8" s="11" t="s">
        <v>332</v>
      </c>
      <c r="D8" s="11">
        <v>35.0</v>
      </c>
      <c r="E8" s="4"/>
      <c r="F8" s="4"/>
      <c r="G8" s="4"/>
      <c r="H8" s="4"/>
      <c r="I8" s="4"/>
      <c r="J8" s="4"/>
      <c r="K8" s="4"/>
    </row>
    <row r="9" ht="39.75" customHeight="1">
      <c r="A9" s="4" t="s">
        <v>336</v>
      </c>
      <c r="B9" s="4" t="s">
        <v>337</v>
      </c>
      <c r="C9" s="4" t="s">
        <v>338</v>
      </c>
      <c r="D9" s="4" t="s">
        <v>339</v>
      </c>
      <c r="E9" s="4" t="s">
        <v>341</v>
      </c>
      <c r="F9" s="4" t="s">
        <v>339</v>
      </c>
      <c r="G9" s="4"/>
      <c r="H9" s="4"/>
      <c r="I9" s="4"/>
      <c r="J9" s="4"/>
      <c r="K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1" t="s">
        <v>345</v>
      </c>
      <c r="B11" s="1" t="s">
        <v>346</v>
      </c>
      <c r="C11" s="1" t="s">
        <v>347</v>
      </c>
      <c r="D11" s="1"/>
      <c r="E11" s="1"/>
      <c r="F11" s="4"/>
      <c r="G11" s="1" t="s">
        <v>348</v>
      </c>
      <c r="H11" s="1"/>
      <c r="I11" s="1"/>
      <c r="J11" s="1"/>
      <c r="K11" s="1"/>
    </row>
    <row r="12" ht="26.25" customHeight="1">
      <c r="A12" s="4" t="s">
        <v>349</v>
      </c>
      <c r="B12" s="10">
        <v>2.0</v>
      </c>
      <c r="C12" s="4" t="s">
        <v>350</v>
      </c>
      <c r="D12" s="4"/>
      <c r="E12" s="4"/>
      <c r="F12" s="4"/>
      <c r="G12" s="4" t="s">
        <v>351</v>
      </c>
      <c r="H12" s="4" t="s">
        <v>352</v>
      </c>
      <c r="I12" s="4"/>
      <c r="J12" s="4"/>
      <c r="K12" s="4"/>
    </row>
    <row r="13" ht="26.25" customHeight="1">
      <c r="A13" s="4" t="s">
        <v>353</v>
      </c>
      <c r="B13" s="10">
        <v>2.0</v>
      </c>
      <c r="C13" s="4" t="s">
        <v>354</v>
      </c>
      <c r="D13" s="4"/>
      <c r="E13" s="4"/>
      <c r="F13" s="4"/>
      <c r="G13" s="4" t="s">
        <v>355</v>
      </c>
      <c r="H13" s="4" t="s">
        <v>356</v>
      </c>
      <c r="I13" s="4"/>
      <c r="J13" s="4"/>
      <c r="K13" s="4"/>
    </row>
    <row r="14" ht="26.25" customHeight="1">
      <c r="A14" s="4" t="s">
        <v>357</v>
      </c>
      <c r="B14" s="10">
        <v>4.0</v>
      </c>
      <c r="C14" s="11" t="s">
        <v>358</v>
      </c>
      <c r="D14" s="4"/>
      <c r="E14" s="4"/>
      <c r="F14" s="4"/>
      <c r="G14" s="4" t="s">
        <v>359</v>
      </c>
      <c r="H14" s="4" t="s">
        <v>360</v>
      </c>
      <c r="I14" s="4"/>
      <c r="J14" s="4"/>
      <c r="K14" s="4"/>
    </row>
    <row r="15" ht="26.25" customHeight="1">
      <c r="A15" s="4" t="s">
        <v>361</v>
      </c>
      <c r="B15" s="10">
        <v>2.0</v>
      </c>
      <c r="C15" s="4" t="s">
        <v>362</v>
      </c>
      <c r="D15" s="4"/>
      <c r="E15" s="4"/>
      <c r="F15" s="4"/>
      <c r="G15" s="4" t="s">
        <v>363</v>
      </c>
      <c r="H15" s="4" t="s">
        <v>364</v>
      </c>
      <c r="I15" s="4"/>
      <c r="J15" s="4"/>
      <c r="K15" s="4"/>
    </row>
    <row r="16" ht="66.75" customHeight="1">
      <c r="A16" s="4" t="s">
        <v>366</v>
      </c>
      <c r="B16" s="10">
        <v>2.0</v>
      </c>
      <c r="C16" s="4" t="s">
        <v>369</v>
      </c>
      <c r="D16" s="4"/>
      <c r="E16" s="4"/>
      <c r="F16" s="4"/>
      <c r="G16" s="4" t="s">
        <v>373</v>
      </c>
      <c r="H16" s="4" t="s">
        <v>375</v>
      </c>
      <c r="I16" s="4"/>
      <c r="J16" s="4"/>
      <c r="K16" s="4"/>
    </row>
    <row r="18">
      <c r="A18" s="27" t="s">
        <v>140</v>
      </c>
      <c r="B18" s="28" t="s">
        <v>392</v>
      </c>
      <c r="C18" s="27" t="s">
        <v>43</v>
      </c>
      <c r="D18" s="29"/>
      <c r="E18" s="29"/>
    </row>
    <row r="19">
      <c r="A19" s="20" t="s">
        <v>412</v>
      </c>
      <c r="B19" s="20">
        <v>25.0</v>
      </c>
      <c r="C19" s="21"/>
    </row>
    <row r="20">
      <c r="A20" s="20" t="s">
        <v>449</v>
      </c>
      <c r="B20" s="20">
        <v>25.0</v>
      </c>
      <c r="C20" s="21"/>
    </row>
    <row r="21" ht="15.75" customHeight="1">
      <c r="A21" s="20" t="s">
        <v>457</v>
      </c>
      <c r="B21" s="20">
        <v>7.9</v>
      </c>
      <c r="C21" s="21"/>
    </row>
    <row r="22" ht="15.75" customHeight="1">
      <c r="A22" s="20" t="s">
        <v>460</v>
      </c>
      <c r="B22" s="20">
        <v>10.0</v>
      </c>
    </row>
    <row r="23" ht="15.75" customHeight="1">
      <c r="A23" s="20" t="s">
        <v>461</v>
      </c>
      <c r="B23" s="20">
        <v>15.0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20.0"/>
    <col customWidth="1" min="3" max="3" width="32.0"/>
    <col customWidth="1" min="4" max="5" width="26.0"/>
    <col customWidth="1" min="6" max="6" width="12.0"/>
    <col customWidth="1" min="7" max="7" width="24.0"/>
    <col customWidth="1" min="8" max="8" width="28.0"/>
    <col customWidth="1" min="9" max="9" width="8.63"/>
    <col customWidth="1" min="10" max="14" width="20.0"/>
    <col customWidth="1" min="15" max="26" width="8.63"/>
  </cols>
  <sheetData>
    <row r="1" ht="26.25" customHeight="1">
      <c r="A1" s="1" t="s">
        <v>311</v>
      </c>
      <c r="B1" s="1"/>
      <c r="C1" s="1"/>
      <c r="D1" s="1"/>
      <c r="E1" s="1"/>
      <c r="F1" s="1"/>
      <c r="G1" s="1"/>
      <c r="H1" s="1"/>
      <c r="I1" s="4"/>
      <c r="J1" s="4"/>
      <c r="K1" s="4"/>
      <c r="L1" s="4"/>
      <c r="M1" s="4"/>
      <c r="N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26.25" customHeight="1">
      <c r="A3" s="1" t="s">
        <v>316</v>
      </c>
      <c r="B3" s="1" t="s">
        <v>318</v>
      </c>
      <c r="C3" s="1" t="s">
        <v>320</v>
      </c>
      <c r="D3" s="1" t="s">
        <v>322</v>
      </c>
      <c r="E3" s="1" t="s">
        <v>323</v>
      </c>
      <c r="F3" s="1" t="s">
        <v>324</v>
      </c>
      <c r="G3" s="1" t="s">
        <v>325</v>
      </c>
      <c r="H3" s="1" t="s">
        <v>43</v>
      </c>
      <c r="I3" s="4"/>
      <c r="J3" s="3" t="s">
        <v>329</v>
      </c>
      <c r="K3" s="3"/>
      <c r="L3" s="3"/>
      <c r="M3" s="3"/>
      <c r="N3" s="3"/>
    </row>
    <row r="4" ht="26.25" customHeight="1">
      <c r="A4" s="4" t="s">
        <v>235</v>
      </c>
      <c r="B4" s="4" t="s">
        <v>238</v>
      </c>
      <c r="C4" s="4" t="s">
        <v>333</v>
      </c>
      <c r="D4" s="11" t="s">
        <v>334</v>
      </c>
      <c r="E4" s="4" t="s">
        <v>335</v>
      </c>
      <c r="F4" s="10">
        <v>4.0</v>
      </c>
      <c r="G4" s="4" t="s">
        <v>340</v>
      </c>
      <c r="H4" s="4" t="s">
        <v>342</v>
      </c>
      <c r="I4" s="4"/>
      <c r="J4" s="4" t="s">
        <v>343</v>
      </c>
      <c r="K4" s="4">
        <f>ROUND((SUM(F4:F13)/COUNT(F4:F13))*20,1)</f>
        <v>66</v>
      </c>
      <c r="L4" s="4"/>
      <c r="M4" s="4"/>
      <c r="N4" s="4"/>
    </row>
    <row r="5" ht="39.75" customHeight="1">
      <c r="A5" s="4" t="s">
        <v>365</v>
      </c>
      <c r="B5" s="4" t="s">
        <v>367</v>
      </c>
      <c r="C5" s="4" t="s">
        <v>368</v>
      </c>
      <c r="D5" s="4" t="s">
        <v>370</v>
      </c>
      <c r="E5" s="4" t="s">
        <v>372</v>
      </c>
      <c r="F5" s="10">
        <v>5.0</v>
      </c>
      <c r="G5" s="4" t="s">
        <v>374</v>
      </c>
      <c r="H5" s="4" t="s">
        <v>376</v>
      </c>
      <c r="I5" s="4"/>
      <c r="J5" s="4" t="s">
        <v>117</v>
      </c>
      <c r="K5" s="4" t="s">
        <v>365</v>
      </c>
      <c r="L5" s="4"/>
      <c r="M5" s="4"/>
      <c r="N5" s="4"/>
    </row>
    <row r="6" ht="26.25" customHeight="1">
      <c r="A6" s="4" t="s">
        <v>221</v>
      </c>
      <c r="B6" s="4" t="s">
        <v>227</v>
      </c>
      <c r="C6" s="4" t="s">
        <v>377</v>
      </c>
      <c r="D6" s="4" t="s">
        <v>378</v>
      </c>
      <c r="E6" s="4" t="s">
        <v>379</v>
      </c>
      <c r="F6" s="9">
        <v>2.0</v>
      </c>
      <c r="G6" s="4" t="s">
        <v>380</v>
      </c>
      <c r="H6" s="4" t="s">
        <v>381</v>
      </c>
      <c r="I6" s="4"/>
      <c r="J6" s="4" t="s">
        <v>382</v>
      </c>
      <c r="K6" s="11" t="s">
        <v>383</v>
      </c>
      <c r="L6" s="4"/>
      <c r="M6" s="4"/>
      <c r="N6" s="4"/>
    </row>
    <row r="7" ht="26.25" customHeight="1">
      <c r="A7" s="4" t="s">
        <v>384</v>
      </c>
      <c r="B7" s="4" t="s">
        <v>385</v>
      </c>
      <c r="C7" s="4" t="s">
        <v>386</v>
      </c>
      <c r="D7" s="4" t="s">
        <v>387</v>
      </c>
      <c r="E7" s="4" t="s">
        <v>388</v>
      </c>
      <c r="F7" s="9">
        <v>5.0</v>
      </c>
      <c r="G7" s="4" t="s">
        <v>389</v>
      </c>
      <c r="H7" s="4" t="s">
        <v>390</v>
      </c>
      <c r="I7" s="4"/>
      <c r="J7" s="4"/>
      <c r="K7" s="4"/>
      <c r="L7" s="4"/>
      <c r="M7" s="4"/>
      <c r="N7" s="4"/>
    </row>
    <row r="8" ht="26.25" customHeight="1">
      <c r="A8" s="4" t="s">
        <v>196</v>
      </c>
      <c r="B8" s="4" t="s">
        <v>204</v>
      </c>
      <c r="C8" s="4" t="s">
        <v>393</v>
      </c>
      <c r="D8" s="4" t="s">
        <v>395</v>
      </c>
      <c r="E8" s="4" t="s">
        <v>396</v>
      </c>
      <c r="F8" s="10">
        <v>2.0</v>
      </c>
      <c r="G8" s="4" t="s">
        <v>398</v>
      </c>
      <c r="H8" s="4" t="s">
        <v>399</v>
      </c>
      <c r="I8" s="4"/>
      <c r="J8" s="4"/>
      <c r="K8" s="4"/>
      <c r="L8" s="4"/>
      <c r="M8" s="4"/>
      <c r="N8" s="4"/>
    </row>
    <row r="9" ht="26.25" customHeight="1">
      <c r="A9" s="4" t="s">
        <v>209</v>
      </c>
      <c r="B9" s="4" t="s">
        <v>215</v>
      </c>
      <c r="C9" s="4" t="s">
        <v>402</v>
      </c>
      <c r="D9" s="4" t="s">
        <v>404</v>
      </c>
      <c r="E9" s="4" t="s">
        <v>405</v>
      </c>
      <c r="F9" s="9">
        <v>1.0</v>
      </c>
      <c r="G9" s="4" t="s">
        <v>406</v>
      </c>
      <c r="H9" s="4" t="s">
        <v>407</v>
      </c>
      <c r="I9" s="4"/>
      <c r="J9" s="4"/>
      <c r="K9" s="4"/>
      <c r="L9" s="4"/>
      <c r="M9" s="4"/>
      <c r="N9" s="4"/>
    </row>
    <row r="10" ht="26.25" customHeight="1">
      <c r="A10" s="4" t="s">
        <v>408</v>
      </c>
      <c r="B10" s="4" t="s">
        <v>120</v>
      </c>
      <c r="C10" s="4" t="s">
        <v>409</v>
      </c>
      <c r="D10" s="4" t="s">
        <v>410</v>
      </c>
      <c r="E10" s="4" t="s">
        <v>413</v>
      </c>
      <c r="F10" s="10">
        <v>3.0</v>
      </c>
      <c r="G10" s="4" t="s">
        <v>414</v>
      </c>
      <c r="H10" s="4" t="s">
        <v>415</v>
      </c>
      <c r="I10" s="4"/>
      <c r="J10" s="4"/>
      <c r="K10" s="4"/>
      <c r="L10" s="4"/>
      <c r="M10" s="4"/>
      <c r="N10" s="4"/>
    </row>
    <row r="11" ht="26.25" customHeight="1">
      <c r="A11" s="4" t="s">
        <v>418</v>
      </c>
      <c r="B11" s="4" t="s">
        <v>419</v>
      </c>
      <c r="C11" s="4" t="s">
        <v>420</v>
      </c>
      <c r="D11" s="4" t="s">
        <v>421</v>
      </c>
      <c r="E11" s="4" t="s">
        <v>422</v>
      </c>
      <c r="F11" s="9">
        <v>5.0</v>
      </c>
      <c r="G11" s="4" t="s">
        <v>423</v>
      </c>
      <c r="H11" s="4" t="s">
        <v>424</v>
      </c>
      <c r="I11" s="4"/>
      <c r="J11" s="4"/>
      <c r="K11" s="4"/>
      <c r="L11" s="4"/>
      <c r="M11" s="4"/>
      <c r="N11" s="4"/>
    </row>
    <row r="12" ht="26.25" customHeight="1">
      <c r="A12" s="4" t="s">
        <v>248</v>
      </c>
      <c r="B12" s="4" t="s">
        <v>251</v>
      </c>
      <c r="C12" s="4" t="s">
        <v>427</v>
      </c>
      <c r="D12" s="4" t="s">
        <v>429</v>
      </c>
      <c r="E12" s="4" t="s">
        <v>430</v>
      </c>
      <c r="F12" s="9">
        <v>2.0</v>
      </c>
      <c r="G12" s="4" t="s">
        <v>431</v>
      </c>
      <c r="H12" s="4" t="s">
        <v>433</v>
      </c>
      <c r="I12" s="4"/>
      <c r="J12" s="4"/>
      <c r="K12" s="4"/>
      <c r="L12" s="4"/>
      <c r="M12" s="4"/>
      <c r="N12" s="4"/>
    </row>
    <row r="13" ht="26.25" customHeight="1">
      <c r="A13" s="4" t="s">
        <v>438</v>
      </c>
      <c r="B13" s="4" t="s">
        <v>439</v>
      </c>
      <c r="C13" s="4" t="s">
        <v>441</v>
      </c>
      <c r="D13" s="4" t="s">
        <v>443</v>
      </c>
      <c r="E13" s="4" t="s">
        <v>445</v>
      </c>
      <c r="F13" s="9">
        <v>4.0</v>
      </c>
      <c r="G13" s="4" t="s">
        <v>448</v>
      </c>
      <c r="H13" s="4" t="s">
        <v>450</v>
      </c>
      <c r="I13" s="4"/>
      <c r="J13" s="4"/>
      <c r="K13" s="4"/>
      <c r="L13" s="4"/>
      <c r="M13" s="4"/>
      <c r="N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7.0"/>
    <col customWidth="1" min="3" max="3" width="18.0"/>
    <col customWidth="1" min="4" max="4" width="24.13"/>
    <col customWidth="1" min="5" max="5" width="32.0"/>
    <col customWidth="1" min="6" max="6" width="28.0"/>
    <col customWidth="1" min="7" max="26" width="8.63"/>
  </cols>
  <sheetData>
    <row r="1" ht="15.0" customHeight="1">
      <c r="A1" s="31" t="s">
        <v>411</v>
      </c>
      <c r="B1" s="1" t="s">
        <v>425</v>
      </c>
      <c r="C1" s="1" t="s">
        <v>259</v>
      </c>
      <c r="D1" s="1" t="s">
        <v>426</v>
      </c>
      <c r="E1" s="1" t="s">
        <v>428</v>
      </c>
      <c r="F1" s="1"/>
    </row>
    <row r="2" ht="39.75" customHeight="1">
      <c r="A2" s="4" t="s">
        <v>432</v>
      </c>
      <c r="B2" s="4" t="s">
        <v>434</v>
      </c>
      <c r="C2" s="4" t="s">
        <v>435</v>
      </c>
      <c r="D2" s="4" t="s">
        <v>436</v>
      </c>
      <c r="E2" s="4" t="s">
        <v>437</v>
      </c>
      <c r="F2" s="4"/>
    </row>
    <row r="3" ht="26.25" customHeight="1">
      <c r="A3" s="4" t="s">
        <v>440</v>
      </c>
      <c r="B3" s="4" t="s">
        <v>442</v>
      </c>
      <c r="C3" s="4" t="s">
        <v>444</v>
      </c>
      <c r="D3" s="4" t="s">
        <v>446</v>
      </c>
      <c r="E3" s="4" t="s">
        <v>447</v>
      </c>
      <c r="F3" s="4"/>
    </row>
    <row r="4">
      <c r="A4" s="4" t="s">
        <v>440</v>
      </c>
      <c r="B4" s="4" t="s">
        <v>451</v>
      </c>
      <c r="C4" s="4" t="s">
        <v>452</v>
      </c>
      <c r="D4" s="4" t="s">
        <v>453</v>
      </c>
      <c r="E4" s="4" t="s">
        <v>454</v>
      </c>
      <c r="F4" s="4"/>
    </row>
    <row r="5">
      <c r="A5" s="6">
        <v>33880.0</v>
      </c>
      <c r="B5" s="32" t="s">
        <v>455</v>
      </c>
      <c r="C5" s="20" t="s">
        <v>456</v>
      </c>
      <c r="D5" s="32" t="s">
        <v>458</v>
      </c>
      <c r="E5" s="32" t="s">
        <v>459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